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esktop\Data Analysis Course\my projects\HR-Dashboard-Excel\"/>
    </mc:Choice>
  </mc:AlternateContent>
  <xr:revisionPtr revIDLastSave="0" documentId="8_{FFF9D369-BE42-40B2-9549-8EC8CA836790}" xr6:coauthVersionLast="47" xr6:coauthVersionMax="47" xr10:uidLastSave="{00000000-0000-0000-0000-000000000000}"/>
  <bookViews>
    <workbookView xWindow="-108" yWindow="-108" windowWidth="23256" windowHeight="12456" firstSheet="1" activeTab="3" xr2:uid="{F8021D74-820E-4B0D-BFA4-A0D649C58CDF}"/>
  </bookViews>
  <sheets>
    <sheet name="PIVOT TABLES" sheetId="7" r:id="rId1"/>
    <sheet name="dashboard" sheetId="11" r:id="rId2"/>
    <sheet name="Pivot Table" sheetId="12" r:id="rId3"/>
    <sheet name="data" sheetId="1" r:id="rId4"/>
  </sheets>
  <definedNames>
    <definedName name="Slicer_Branch">#N/A</definedName>
    <definedName name="Slicer_Branch1">#N/A</definedName>
    <definedName name="Slicer_name_of_month">#N/A</definedName>
    <definedName name="Slicer_name_of_month1">#N/A</definedName>
    <definedName name="Slicer_Position">#N/A</definedName>
    <definedName name="Slicer_Posit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1" l="1"/>
  <c r="E4" i="11"/>
  <c r="F4" i="11"/>
  <c r="G2" i="11"/>
  <c r="E2" i="11"/>
  <c r="F2" i="11"/>
  <c r="K4" i="11"/>
  <c r="I4" i="11"/>
  <c r="J4" i="11"/>
  <c r="K2" i="11"/>
  <c r="I2" i="11"/>
  <c r="J2" i="11"/>
  <c r="O2" i="11"/>
  <c r="P2" i="11"/>
  <c r="O3" i="11"/>
  <c r="P3" i="1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S10" i="1"/>
  <c r="S8" i="1"/>
  <c r="S6" i="1"/>
  <c r="S4" i="1"/>
  <c r="M2" i="1"/>
  <c r="O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<sst xmlns="http://schemas.openxmlformats.org/spreadsheetml/2006/main" count="8171" uniqueCount="2051">
  <si>
    <t>EmpID</t>
  </si>
  <si>
    <t>Name</t>
  </si>
  <si>
    <t>ID No.</t>
  </si>
  <si>
    <t>Department</t>
  </si>
  <si>
    <t>Gender</t>
  </si>
  <si>
    <t>DOB</t>
  </si>
  <si>
    <t>Age</t>
  </si>
  <si>
    <t>PayType</t>
  </si>
  <si>
    <t>Position</t>
  </si>
  <si>
    <t>Branch</t>
  </si>
  <si>
    <t>Place of Birth</t>
  </si>
  <si>
    <t>Hire date</t>
  </si>
  <si>
    <t>Years no.</t>
  </si>
  <si>
    <t>Salary</t>
  </si>
  <si>
    <t>Emp 1</t>
  </si>
  <si>
    <t>28401260170832</t>
  </si>
  <si>
    <t>Maintenance</t>
  </si>
  <si>
    <t>Male</t>
  </si>
  <si>
    <t>Part Time</t>
  </si>
  <si>
    <t>Manager</t>
  </si>
  <si>
    <t>Giza</t>
  </si>
  <si>
    <t>Cairo</t>
  </si>
  <si>
    <t>Emp 2</t>
  </si>
  <si>
    <t>29211241364134</t>
  </si>
  <si>
    <t>Logistics</t>
  </si>
  <si>
    <t>Employee</t>
  </si>
  <si>
    <t>Alexandria</t>
  </si>
  <si>
    <t>Sharqia</t>
  </si>
  <si>
    <t>Emp 3</t>
  </si>
  <si>
    <t>30010092190635</t>
  </si>
  <si>
    <t>Manufacturing</t>
  </si>
  <si>
    <t>Ismailia</t>
  </si>
  <si>
    <t>Emp 4</t>
  </si>
  <si>
    <t>29606191791181</t>
  </si>
  <si>
    <t>Administration</t>
  </si>
  <si>
    <t>Female</t>
  </si>
  <si>
    <t>Full Time</t>
  </si>
  <si>
    <t>Monufia</t>
  </si>
  <si>
    <t>Emp 5</t>
  </si>
  <si>
    <t>29309210163576</t>
  </si>
  <si>
    <t>Finance</t>
  </si>
  <si>
    <t>Emp 6</t>
  </si>
  <si>
    <t>28511252167378</t>
  </si>
  <si>
    <t>Operations</t>
  </si>
  <si>
    <t>Emp 7</t>
  </si>
  <si>
    <t>28308071379248</t>
  </si>
  <si>
    <t>Supervisor</t>
  </si>
  <si>
    <t>Emp 8</t>
  </si>
  <si>
    <t>28903060171174</t>
  </si>
  <si>
    <t>Emp 9</t>
  </si>
  <si>
    <t>28808120183762</t>
  </si>
  <si>
    <t>Emp 10</t>
  </si>
  <si>
    <t>30303060168572</t>
  </si>
  <si>
    <t>Quality Assurance</t>
  </si>
  <si>
    <t>Emp 11</t>
  </si>
  <si>
    <t>28202240173227</t>
  </si>
  <si>
    <t>Emp 12</t>
  </si>
  <si>
    <t>30305030155122</t>
  </si>
  <si>
    <t>Emp 13</t>
  </si>
  <si>
    <t>28612070158122</t>
  </si>
  <si>
    <t>Emp 14</t>
  </si>
  <si>
    <t>29303120161011</t>
  </si>
  <si>
    <t>Emp 15</t>
  </si>
  <si>
    <t>29211090169729</t>
  </si>
  <si>
    <t>Emp 16</t>
  </si>
  <si>
    <t>29203190155848</t>
  </si>
  <si>
    <t>Marketing</t>
  </si>
  <si>
    <t>Emp 17</t>
  </si>
  <si>
    <t>30111090181931</t>
  </si>
  <si>
    <t>Emp 18</t>
  </si>
  <si>
    <t>28907160185937</t>
  </si>
  <si>
    <t>Emp 19</t>
  </si>
  <si>
    <t>28601240154257</t>
  </si>
  <si>
    <t>Emp 20</t>
  </si>
  <si>
    <t>29205240170277</t>
  </si>
  <si>
    <t>Emp 21</t>
  </si>
  <si>
    <t>30301070171536</t>
  </si>
  <si>
    <t>Emp 22</t>
  </si>
  <si>
    <t>30302231369053</t>
  </si>
  <si>
    <t>Emp 23</t>
  </si>
  <si>
    <t>30306261981036</t>
  </si>
  <si>
    <t>Emp 24</t>
  </si>
  <si>
    <t>30301191986834</t>
  </si>
  <si>
    <t>Emp 25</t>
  </si>
  <si>
    <t>30306181356576</t>
  </si>
  <si>
    <t>Emp 26</t>
  </si>
  <si>
    <t>30311110283875</t>
  </si>
  <si>
    <t>Emp 27</t>
  </si>
  <si>
    <t>30311270176434</t>
  </si>
  <si>
    <t>Emp 28</t>
  </si>
  <si>
    <t>30302130167692</t>
  </si>
  <si>
    <t>Emp 29</t>
  </si>
  <si>
    <t>30311070185514</t>
  </si>
  <si>
    <t>Emp 30</t>
  </si>
  <si>
    <t>30303170177734</t>
  </si>
  <si>
    <t>Human Resources</t>
  </si>
  <si>
    <t>Emp 31</t>
  </si>
  <si>
    <t>30309260184719</t>
  </si>
  <si>
    <t>Emp 32</t>
  </si>
  <si>
    <t>30305210153537</t>
  </si>
  <si>
    <t>Emp 33</t>
  </si>
  <si>
    <t>30307190162477</t>
  </si>
  <si>
    <t>Emp 34</t>
  </si>
  <si>
    <t>30301040157337</t>
  </si>
  <si>
    <t>Emp 35</t>
  </si>
  <si>
    <t>30302160170034</t>
  </si>
  <si>
    <t>Emp 36</t>
  </si>
  <si>
    <t>30301110165936</t>
  </si>
  <si>
    <t>Emp 37</t>
  </si>
  <si>
    <t>28309180174794</t>
  </si>
  <si>
    <t>Emp 38</t>
  </si>
  <si>
    <t>29412210179157</t>
  </si>
  <si>
    <t>Emp 39</t>
  </si>
  <si>
    <t>28506260178277</t>
  </si>
  <si>
    <t>Emp 40</t>
  </si>
  <si>
    <t>29105121756033</t>
  </si>
  <si>
    <t>Emp 41</t>
  </si>
  <si>
    <t>29904050278178</t>
  </si>
  <si>
    <t>Emp 42</t>
  </si>
  <si>
    <t>29403282162257</t>
  </si>
  <si>
    <t>Emp 43</t>
  </si>
  <si>
    <t>30309160277836</t>
  </si>
  <si>
    <t>Emp 44</t>
  </si>
  <si>
    <t>29803040264531</t>
  </si>
  <si>
    <t>Emp 45</t>
  </si>
  <si>
    <t>28201271755191</t>
  </si>
  <si>
    <t>Emp 46</t>
  </si>
  <si>
    <t>29010170158666</t>
  </si>
  <si>
    <t>Emp 47</t>
  </si>
  <si>
    <t>29109041964255</t>
  </si>
  <si>
    <t>Emp 48</t>
  </si>
  <si>
    <t>29510160153191</t>
  </si>
  <si>
    <t>Emp 49</t>
  </si>
  <si>
    <t>29802271963369</t>
  </si>
  <si>
    <t>Emp 50</t>
  </si>
  <si>
    <t>30212250163363</t>
  </si>
  <si>
    <t>Emp 51</t>
  </si>
  <si>
    <t>28406220157279</t>
  </si>
  <si>
    <t>Emp 52</t>
  </si>
  <si>
    <t>30104030167327</t>
  </si>
  <si>
    <t>Emp 53</t>
  </si>
  <si>
    <t>30206230188597</t>
  </si>
  <si>
    <t>Emp 54</t>
  </si>
  <si>
    <t>29606250186194</t>
  </si>
  <si>
    <t>Emp 55</t>
  </si>
  <si>
    <t>29909130154266</t>
  </si>
  <si>
    <t>Training</t>
  </si>
  <si>
    <t>Emp 56</t>
  </si>
  <si>
    <t>28711160173411</t>
  </si>
  <si>
    <t>Emp 57</t>
  </si>
  <si>
    <t>30309060160591</t>
  </si>
  <si>
    <t>Emp 58</t>
  </si>
  <si>
    <t>30302040154485</t>
  </si>
  <si>
    <t>Emp 59</t>
  </si>
  <si>
    <t>30310260165373</t>
  </si>
  <si>
    <t>Emp 60</t>
  </si>
  <si>
    <t>30303180175975</t>
  </si>
  <si>
    <t>Emp 61</t>
  </si>
  <si>
    <t>30309070190286</t>
  </si>
  <si>
    <t>Emp 62</t>
  </si>
  <si>
    <t>30304030153026</t>
  </si>
  <si>
    <t>Emp 63</t>
  </si>
  <si>
    <t>30304110162669</t>
  </si>
  <si>
    <t>Emp 64</t>
  </si>
  <si>
    <t>30307040167324</t>
  </si>
  <si>
    <t>Emp 65</t>
  </si>
  <si>
    <t>30312240159658</t>
  </si>
  <si>
    <t>Emp 66</t>
  </si>
  <si>
    <t>30311180189516</t>
  </si>
  <si>
    <t>Emp 67</t>
  </si>
  <si>
    <t>30311050154941</t>
  </si>
  <si>
    <t>Emp 68</t>
  </si>
  <si>
    <t>30306210164164</t>
  </si>
  <si>
    <t>Emp 69</t>
  </si>
  <si>
    <t>30203010169224</t>
  </si>
  <si>
    <t>Emp 70</t>
  </si>
  <si>
    <t>30203160168687</t>
  </si>
  <si>
    <t>Emp 71</t>
  </si>
  <si>
    <t>30203130168457</t>
  </si>
  <si>
    <t>Emp 72</t>
  </si>
  <si>
    <t>30201250153838</t>
  </si>
  <si>
    <t>Emp 73</t>
  </si>
  <si>
    <t>30202220159543</t>
  </si>
  <si>
    <t>Emp 74</t>
  </si>
  <si>
    <t>28905040177344</t>
  </si>
  <si>
    <t>Emp 75</t>
  </si>
  <si>
    <t>29008130188595</t>
  </si>
  <si>
    <t>Emp 76</t>
  </si>
  <si>
    <t>30103030188337</t>
  </si>
  <si>
    <t>Emp 77</t>
  </si>
  <si>
    <t>28803210157736</t>
  </si>
  <si>
    <t>Emp 78</t>
  </si>
  <si>
    <t>30002090153739</t>
  </si>
  <si>
    <t>Emp 79</t>
  </si>
  <si>
    <t>29704270188033</t>
  </si>
  <si>
    <t>Emp 80</t>
  </si>
  <si>
    <t>28903010153618</t>
  </si>
  <si>
    <t>Emp 81</t>
  </si>
  <si>
    <t>29004050168366</t>
  </si>
  <si>
    <t>Emp 82</t>
  </si>
  <si>
    <t>28911200187841</t>
  </si>
  <si>
    <t>Emp 83</t>
  </si>
  <si>
    <t>30107160191041</t>
  </si>
  <si>
    <t>Emp 84</t>
  </si>
  <si>
    <t>29706220156541</t>
  </si>
  <si>
    <t>Emp 85</t>
  </si>
  <si>
    <t>30310250152875</t>
  </si>
  <si>
    <t>Emp 86</t>
  </si>
  <si>
    <t>30305020182347</t>
  </si>
  <si>
    <t>Emp 87</t>
  </si>
  <si>
    <t>30303140161476</t>
  </si>
  <si>
    <t>Emp 88</t>
  </si>
  <si>
    <t>30309230158544</t>
  </si>
  <si>
    <t>Emp 89</t>
  </si>
  <si>
    <t>30312260164741</t>
  </si>
  <si>
    <t>Emp 90</t>
  </si>
  <si>
    <t>30301130178237</t>
  </si>
  <si>
    <t>Emp 91</t>
  </si>
  <si>
    <t>30312060154214</t>
  </si>
  <si>
    <t>Emp 92</t>
  </si>
  <si>
    <t>30310230158391</t>
  </si>
  <si>
    <t>Emp 93</t>
  </si>
  <si>
    <t>30312250185239</t>
  </si>
  <si>
    <t>Emp 94</t>
  </si>
  <si>
    <t>30310180161571</t>
  </si>
  <si>
    <t>Emp 95</t>
  </si>
  <si>
    <t>30308020156447</t>
  </si>
  <si>
    <t>Emp 96</t>
  </si>
  <si>
    <t>30307130176042</t>
  </si>
  <si>
    <t>Emp 97</t>
  </si>
  <si>
    <t>30305270178537</t>
  </si>
  <si>
    <t>Emp 98</t>
  </si>
  <si>
    <t>30301040159291</t>
  </si>
  <si>
    <t>Emp 99</t>
  </si>
  <si>
    <t>30301060183149</t>
  </si>
  <si>
    <t>Emp 100</t>
  </si>
  <si>
    <t>30310230163411</t>
  </si>
  <si>
    <t>Emp 101</t>
  </si>
  <si>
    <t>30301160168544</t>
  </si>
  <si>
    <t>Emp 102</t>
  </si>
  <si>
    <t>30309190157418</t>
  </si>
  <si>
    <t>Emp 103</t>
  </si>
  <si>
    <t>30302040172071</t>
  </si>
  <si>
    <t>Emp 104</t>
  </si>
  <si>
    <t>30310190184071</t>
  </si>
  <si>
    <t>Emp 105</t>
  </si>
  <si>
    <t>30312090162648</t>
  </si>
  <si>
    <t>Emp 106</t>
  </si>
  <si>
    <t>30311250185772</t>
  </si>
  <si>
    <t>Emp 107</t>
  </si>
  <si>
    <t>30306100183994</t>
  </si>
  <si>
    <t>Emp 108</t>
  </si>
  <si>
    <t>30307080170453</t>
  </si>
  <si>
    <t>Emp 109</t>
  </si>
  <si>
    <t>30306090191146</t>
  </si>
  <si>
    <t>Emp 110</t>
  </si>
  <si>
    <t>30309220165141</t>
  </si>
  <si>
    <t>Emp 111</t>
  </si>
  <si>
    <t>30302080176413</t>
  </si>
  <si>
    <t>Emp 112</t>
  </si>
  <si>
    <t>30302040176274</t>
  </si>
  <si>
    <t>Emp 113</t>
  </si>
  <si>
    <t>30309160180878</t>
  </si>
  <si>
    <t>Emp 114</t>
  </si>
  <si>
    <t>30307170191078</t>
  </si>
  <si>
    <t>Emp 115</t>
  </si>
  <si>
    <t>30308190182956</t>
  </si>
  <si>
    <t>Emp 116</t>
  </si>
  <si>
    <t>30307070184295</t>
  </si>
  <si>
    <t>Emp 117</t>
  </si>
  <si>
    <t>30302240174815</t>
  </si>
  <si>
    <t>Emp 118</t>
  </si>
  <si>
    <t>30305150191418</t>
  </si>
  <si>
    <t>Emp 119</t>
  </si>
  <si>
    <t>30304240178042</t>
  </si>
  <si>
    <t>Emp 120</t>
  </si>
  <si>
    <t>30308280186358</t>
  </si>
  <si>
    <t>Emp 121</t>
  </si>
  <si>
    <t>30309240166741</t>
  </si>
  <si>
    <t>Emp 122</t>
  </si>
  <si>
    <t>30312060191147</t>
  </si>
  <si>
    <t>Emp 123</t>
  </si>
  <si>
    <t>30303030172846</t>
  </si>
  <si>
    <t>Emp 124</t>
  </si>
  <si>
    <t>30007190185291</t>
  </si>
  <si>
    <t>Emp 125</t>
  </si>
  <si>
    <t>29702140152396</t>
  </si>
  <si>
    <t>Emp 126</t>
  </si>
  <si>
    <t>29906230173199</t>
  </si>
  <si>
    <t>Emp 127</t>
  </si>
  <si>
    <t>29001240183958</t>
  </si>
  <si>
    <t>Emp 128</t>
  </si>
  <si>
    <t>29412110153142</t>
  </si>
  <si>
    <t>Emp 129</t>
  </si>
  <si>
    <t>29803070171498</t>
  </si>
  <si>
    <t>Emp 130</t>
  </si>
  <si>
    <t>30206130170119</t>
  </si>
  <si>
    <t>Emp 131</t>
  </si>
  <si>
    <t>30206240176646</t>
  </si>
  <si>
    <t>Emp 132</t>
  </si>
  <si>
    <t>30206210171642</t>
  </si>
  <si>
    <t>Emp 133</t>
  </si>
  <si>
    <t>30207060184555</t>
  </si>
  <si>
    <t>Emp 134</t>
  </si>
  <si>
    <t>30206180184842</t>
  </si>
  <si>
    <t>Emp 135</t>
  </si>
  <si>
    <t>29104040189542</t>
  </si>
  <si>
    <t>Emp 136</t>
  </si>
  <si>
    <t>29504220161817</t>
  </si>
  <si>
    <t>Emp 137</t>
  </si>
  <si>
    <t>28404110157692</t>
  </si>
  <si>
    <t>Emp 138</t>
  </si>
  <si>
    <t>28711150182413</t>
  </si>
  <si>
    <t>Emp 139</t>
  </si>
  <si>
    <t>29503030156738</t>
  </si>
  <si>
    <t>Emp 140</t>
  </si>
  <si>
    <t>29212160179616</t>
  </si>
  <si>
    <t>Emp 141</t>
  </si>
  <si>
    <t>30101070191477</t>
  </si>
  <si>
    <t>Emp 142</t>
  </si>
  <si>
    <t>28704120154534</t>
  </si>
  <si>
    <t>Emp 143</t>
  </si>
  <si>
    <t>28207230168144</t>
  </si>
  <si>
    <t>Emp 144</t>
  </si>
  <si>
    <t>28607170178945</t>
  </si>
  <si>
    <t>Emp 145</t>
  </si>
  <si>
    <t>30203240160646</t>
  </si>
  <si>
    <t>Emp 146</t>
  </si>
  <si>
    <t>30209080157445</t>
  </si>
  <si>
    <t>Emp 147</t>
  </si>
  <si>
    <t>30206190160732</t>
  </si>
  <si>
    <t>Emp 148</t>
  </si>
  <si>
    <t>30212140159011</t>
  </si>
  <si>
    <t>Emp 149</t>
  </si>
  <si>
    <t>30304010174117</t>
  </si>
  <si>
    <t>Emp 150</t>
  </si>
  <si>
    <t>30301060155253</t>
  </si>
  <si>
    <t>Emp 151</t>
  </si>
  <si>
    <t>30305120153445</t>
  </si>
  <si>
    <t>Emp 152</t>
  </si>
  <si>
    <t>30309160174839</t>
  </si>
  <si>
    <t>Emp 153</t>
  </si>
  <si>
    <t>30306020153398</t>
  </si>
  <si>
    <t>Emp 154</t>
  </si>
  <si>
    <t>30311170171453</t>
  </si>
  <si>
    <t>Emp 155</t>
  </si>
  <si>
    <t>30301040190117</t>
  </si>
  <si>
    <t>Emp 156</t>
  </si>
  <si>
    <t>30302160159416</t>
  </si>
  <si>
    <t>Emp 157</t>
  </si>
  <si>
    <t>30309190155045</t>
  </si>
  <si>
    <t>Emp 158</t>
  </si>
  <si>
    <t>30303210176346</t>
  </si>
  <si>
    <t>Emp 159</t>
  </si>
  <si>
    <t>30308280161214</t>
  </si>
  <si>
    <t>Emp 160</t>
  </si>
  <si>
    <t>30302090177046</t>
  </si>
  <si>
    <t>Emp 161</t>
  </si>
  <si>
    <t>30312140153844</t>
  </si>
  <si>
    <t>Emp 162</t>
  </si>
  <si>
    <t>30311140154249</t>
  </si>
  <si>
    <t>Emp 163</t>
  </si>
  <si>
    <t>30306130164145</t>
  </si>
  <si>
    <t>Emp 164</t>
  </si>
  <si>
    <t>30311150158276</t>
  </si>
  <si>
    <t>Emp 165</t>
  </si>
  <si>
    <t>30303160165071</t>
  </si>
  <si>
    <t>Emp 166</t>
  </si>
  <si>
    <t>30306200153299</t>
  </si>
  <si>
    <t>Emp 167</t>
  </si>
  <si>
    <t>30302020168953</t>
  </si>
  <si>
    <t>Emp 168</t>
  </si>
  <si>
    <t>30311280191158</t>
  </si>
  <si>
    <t>Emp 169</t>
  </si>
  <si>
    <t>30312150152173</t>
  </si>
  <si>
    <t>Emp 170</t>
  </si>
  <si>
    <t>30305240191077</t>
  </si>
  <si>
    <t>Emp 171</t>
  </si>
  <si>
    <t>30310010165754</t>
  </si>
  <si>
    <t>Emp 172</t>
  </si>
  <si>
    <t>30301090186038</t>
  </si>
  <si>
    <t>Emp 173</t>
  </si>
  <si>
    <t>30301120181273</t>
  </si>
  <si>
    <t>Emp 174</t>
  </si>
  <si>
    <t>30308240159472</t>
  </si>
  <si>
    <t>Emp 175</t>
  </si>
  <si>
    <t>30310280157339</t>
  </si>
  <si>
    <t>Emp 176</t>
  </si>
  <si>
    <t>30308020189071</t>
  </si>
  <si>
    <t>Emp 177</t>
  </si>
  <si>
    <t>30312150163619</t>
  </si>
  <si>
    <t>Emp 178</t>
  </si>
  <si>
    <t>30304070174378</t>
  </si>
  <si>
    <t>Emp 179</t>
  </si>
  <si>
    <t>30302020183919</t>
  </si>
  <si>
    <t>Emp 180</t>
  </si>
  <si>
    <t>30302250187676</t>
  </si>
  <si>
    <t>Emp 181</t>
  </si>
  <si>
    <t>30309280186859</t>
  </si>
  <si>
    <t>Emp 182</t>
  </si>
  <si>
    <t>30311040173176</t>
  </si>
  <si>
    <t>Emp 183</t>
  </si>
  <si>
    <t>30308150156913</t>
  </si>
  <si>
    <t>Emp 184</t>
  </si>
  <si>
    <t>30310260174735</t>
  </si>
  <si>
    <t>Emp 185</t>
  </si>
  <si>
    <t>30307180190277</t>
  </si>
  <si>
    <t>Emp 186</t>
  </si>
  <si>
    <t>30312250177332</t>
  </si>
  <si>
    <t>Emp 187</t>
  </si>
  <si>
    <t>30304080168596</t>
  </si>
  <si>
    <t>Emp 188</t>
  </si>
  <si>
    <t>30301030161057</t>
  </si>
  <si>
    <t>Emp 189</t>
  </si>
  <si>
    <t>30304050162673</t>
  </si>
  <si>
    <t>Emp 190</t>
  </si>
  <si>
    <t>30306160170775</t>
  </si>
  <si>
    <t>Emp 191</t>
  </si>
  <si>
    <t>29708170177434</t>
  </si>
  <si>
    <t>Emp 192</t>
  </si>
  <si>
    <t>29510200153599</t>
  </si>
  <si>
    <t>Emp 193</t>
  </si>
  <si>
    <t>30305100183796</t>
  </si>
  <si>
    <t>Emp 194</t>
  </si>
  <si>
    <t>30101140171798</t>
  </si>
  <si>
    <t>Emp 195</t>
  </si>
  <si>
    <t>29406090170077</t>
  </si>
  <si>
    <t>Emp 196</t>
  </si>
  <si>
    <t>30307130177133</t>
  </si>
  <si>
    <t>Emp 197</t>
  </si>
  <si>
    <t>30207140188674</t>
  </si>
  <si>
    <t>Emp 198</t>
  </si>
  <si>
    <t>28406080180076</t>
  </si>
  <si>
    <t>Emp 199</t>
  </si>
  <si>
    <t>29101230161512</t>
  </si>
  <si>
    <t>Emp 200</t>
  </si>
  <si>
    <t>30204090158794</t>
  </si>
  <si>
    <t>Emp 201</t>
  </si>
  <si>
    <t>29202050174696</t>
  </si>
  <si>
    <t>Emp 202</t>
  </si>
  <si>
    <t>28206150187473</t>
  </si>
  <si>
    <t>Emp 203</t>
  </si>
  <si>
    <t>30202170180875</t>
  </si>
  <si>
    <t>Emp 204</t>
  </si>
  <si>
    <t>30202010177813</t>
  </si>
  <si>
    <t>Emp 205</t>
  </si>
  <si>
    <t>30202100168775</t>
  </si>
  <si>
    <t>Emp 206</t>
  </si>
  <si>
    <t>30202100174093</t>
  </si>
  <si>
    <t>Emp 207</t>
  </si>
  <si>
    <t>30209050157912</t>
  </si>
  <si>
    <t>Emp 208</t>
  </si>
  <si>
    <t>30211140189572</t>
  </si>
  <si>
    <t>Emp 209</t>
  </si>
  <si>
    <t>30203040174854</t>
  </si>
  <si>
    <t>Emp 210</t>
  </si>
  <si>
    <t>28210010187374</t>
  </si>
  <si>
    <t>Emp 211</t>
  </si>
  <si>
    <t>28506130159019</t>
  </si>
  <si>
    <t>Emp 212</t>
  </si>
  <si>
    <t>29107110178074</t>
  </si>
  <si>
    <t>Emp 213</t>
  </si>
  <si>
    <t>29307190171099</t>
  </si>
  <si>
    <t>Emp 214</t>
  </si>
  <si>
    <t>28602220157717</t>
  </si>
  <si>
    <t>Emp 215</t>
  </si>
  <si>
    <t>29105180173756</t>
  </si>
  <si>
    <t>Emp 216</t>
  </si>
  <si>
    <t>28710270173571</t>
  </si>
  <si>
    <t>Emp 217</t>
  </si>
  <si>
    <t>30004270153273</t>
  </si>
  <si>
    <t>Emp 218</t>
  </si>
  <si>
    <t>29507140186574</t>
  </si>
  <si>
    <t>Emp 219</t>
  </si>
  <si>
    <t>29602260188779</t>
  </si>
  <si>
    <t>Emp 220</t>
  </si>
  <si>
    <t>28302230172674</t>
  </si>
  <si>
    <t>Emp 221</t>
  </si>
  <si>
    <t>28309100162198</t>
  </si>
  <si>
    <t>Emp 222</t>
  </si>
  <si>
    <t>30008180174173</t>
  </si>
  <si>
    <t>Emp 223</t>
  </si>
  <si>
    <t>29312200159071</t>
  </si>
  <si>
    <t>Emp 224</t>
  </si>
  <si>
    <t>28910110176477</t>
  </si>
  <si>
    <t>Emp 225</t>
  </si>
  <si>
    <t>28602220159612</t>
  </si>
  <si>
    <t>Emp 226</t>
  </si>
  <si>
    <t>29804270186075</t>
  </si>
  <si>
    <t>Emp 227</t>
  </si>
  <si>
    <t>30312030152255</t>
  </si>
  <si>
    <t>Emp 228</t>
  </si>
  <si>
    <t>30303150160837</t>
  </si>
  <si>
    <t>Emp 229</t>
  </si>
  <si>
    <t>30307010168299</t>
  </si>
  <si>
    <t>Emp 230</t>
  </si>
  <si>
    <t>30311030184117</t>
  </si>
  <si>
    <t>Emp 231</t>
  </si>
  <si>
    <t>30303010169157</t>
  </si>
  <si>
    <t>Emp 232</t>
  </si>
  <si>
    <t>30303180177276</t>
  </si>
  <si>
    <t>Emp 233</t>
  </si>
  <si>
    <t>30310130156277</t>
  </si>
  <si>
    <t>Emp 234</t>
  </si>
  <si>
    <t>30304120178054</t>
  </si>
  <si>
    <t>Emp 235</t>
  </si>
  <si>
    <t>30304240178874</t>
  </si>
  <si>
    <t>Emp 236</t>
  </si>
  <si>
    <t>30307030166516</t>
  </si>
  <si>
    <t>Emp 237</t>
  </si>
  <si>
    <t>30301180188176</t>
  </si>
  <si>
    <t>Emp 238</t>
  </si>
  <si>
    <t>30312160188477</t>
  </si>
  <si>
    <t>Emp 239</t>
  </si>
  <si>
    <t>30304060170698</t>
  </si>
  <si>
    <t>Emp 240</t>
  </si>
  <si>
    <t>30309190160175</t>
  </si>
  <si>
    <t>Emp 241</t>
  </si>
  <si>
    <t>30302010163679</t>
  </si>
  <si>
    <t>Emp 242</t>
  </si>
  <si>
    <t>30308250157577</t>
  </si>
  <si>
    <t>Emp 243</t>
  </si>
  <si>
    <t>30301200178699</t>
  </si>
  <si>
    <t>Emp 244</t>
  </si>
  <si>
    <t>30304090156394</t>
  </si>
  <si>
    <t>Emp 245</t>
  </si>
  <si>
    <t>30303270181072</t>
  </si>
  <si>
    <t>Emp 246</t>
  </si>
  <si>
    <t>30312210181477</t>
  </si>
  <si>
    <t>Emp 247</t>
  </si>
  <si>
    <t>30304010180477</t>
  </si>
  <si>
    <t>Emp 248</t>
  </si>
  <si>
    <t>30307280159671</t>
  </si>
  <si>
    <t>Emp 249</t>
  </si>
  <si>
    <t>30312050158635</t>
  </si>
  <si>
    <t>Emp 250</t>
  </si>
  <si>
    <t>30304040189876</t>
  </si>
  <si>
    <t>Emp 251</t>
  </si>
  <si>
    <t>30307160152073</t>
  </si>
  <si>
    <t>Emp 252</t>
  </si>
  <si>
    <t>30312270168071</t>
  </si>
  <si>
    <t>Emp 253</t>
  </si>
  <si>
    <t>30308210172434</t>
  </si>
  <si>
    <t>Emp 254</t>
  </si>
  <si>
    <t>30308060155675</t>
  </si>
  <si>
    <t>Emp 255</t>
  </si>
  <si>
    <t>30311010163171</t>
  </si>
  <si>
    <t>Emp 256</t>
  </si>
  <si>
    <t>30312080168972</t>
  </si>
  <si>
    <t>Emp 257</t>
  </si>
  <si>
    <t>30305270174499</t>
  </si>
  <si>
    <t>Emp 258</t>
  </si>
  <si>
    <t>30303190181156</t>
  </si>
  <si>
    <t>Emp 259</t>
  </si>
  <si>
    <t>30309100178113</t>
  </si>
  <si>
    <t>Emp 260</t>
  </si>
  <si>
    <t>30312040189758</t>
  </si>
  <si>
    <t>Emp 261</t>
  </si>
  <si>
    <t>30310140172917</t>
  </si>
  <si>
    <t>Emp 262</t>
  </si>
  <si>
    <t>30312020156034</t>
  </si>
  <si>
    <t>Emp 263</t>
  </si>
  <si>
    <t>30306100182879</t>
  </si>
  <si>
    <t>Emp 264</t>
  </si>
  <si>
    <t>30306250176178</t>
  </si>
  <si>
    <t>Emp 265</t>
  </si>
  <si>
    <t>30305250171098</t>
  </si>
  <si>
    <t>Emp 266</t>
  </si>
  <si>
    <t>30312170160279</t>
  </si>
  <si>
    <t>Emp 267</t>
  </si>
  <si>
    <t>30303140182471</t>
  </si>
  <si>
    <t>Emp 268</t>
  </si>
  <si>
    <t>30307130179776</t>
  </si>
  <si>
    <t>Emp 269</t>
  </si>
  <si>
    <t>30311190157338</t>
  </si>
  <si>
    <t>Emp 270</t>
  </si>
  <si>
    <t>30306260174437</t>
  </si>
  <si>
    <t>Emp 271</t>
  </si>
  <si>
    <t>30309260191179</t>
  </si>
  <si>
    <t>Emp 272</t>
  </si>
  <si>
    <t>30311240155459</t>
  </si>
  <si>
    <t>Emp 273</t>
  </si>
  <si>
    <t>29610190169377</t>
  </si>
  <si>
    <t>Emp 274</t>
  </si>
  <si>
    <t>29904280189671</t>
  </si>
  <si>
    <t>Emp 275</t>
  </si>
  <si>
    <t>29403120176153</t>
  </si>
  <si>
    <t>Emp 276</t>
  </si>
  <si>
    <t>29502130185898</t>
  </si>
  <si>
    <t>Emp 277</t>
  </si>
  <si>
    <t>28304050160837</t>
  </si>
  <si>
    <t>Emp 278</t>
  </si>
  <si>
    <t>29703180153937</t>
  </si>
  <si>
    <t>Emp 279</t>
  </si>
  <si>
    <t>29908130184292</t>
  </si>
  <si>
    <t>Emp 280</t>
  </si>
  <si>
    <t>30302160183699</t>
  </si>
  <si>
    <t>Emp 281</t>
  </si>
  <si>
    <t>30108180177254</t>
  </si>
  <si>
    <t>Emp 282</t>
  </si>
  <si>
    <t>28202140169474</t>
  </si>
  <si>
    <t>Emp 283</t>
  </si>
  <si>
    <t>29301140184777</t>
  </si>
  <si>
    <t>Emp 284</t>
  </si>
  <si>
    <t>28711190172238</t>
  </si>
  <si>
    <t>Emp 285</t>
  </si>
  <si>
    <t>30206170162176</t>
  </si>
  <si>
    <t>Emp 286</t>
  </si>
  <si>
    <t>29006280159333</t>
  </si>
  <si>
    <t>Emp 287</t>
  </si>
  <si>
    <t>28808190186517</t>
  </si>
  <si>
    <t>Emp 288</t>
  </si>
  <si>
    <t>28302170167596</t>
  </si>
  <si>
    <t>Emp 289</t>
  </si>
  <si>
    <t>29710010175951</t>
  </si>
  <si>
    <t>Emp 290</t>
  </si>
  <si>
    <t>29802110180378</t>
  </si>
  <si>
    <t>Emp 291</t>
  </si>
  <si>
    <t>28807190185758</t>
  </si>
  <si>
    <t>Emp 292</t>
  </si>
  <si>
    <t>28207130156171</t>
  </si>
  <si>
    <t>Emp 293</t>
  </si>
  <si>
    <t>28711260171432</t>
  </si>
  <si>
    <t>Emp 294</t>
  </si>
  <si>
    <t>30305090165674</t>
  </si>
  <si>
    <t>Emp 295</t>
  </si>
  <si>
    <t>30309060184895</t>
  </si>
  <si>
    <t>Emp 296</t>
  </si>
  <si>
    <t>30309230171116</t>
  </si>
  <si>
    <t>Emp 297</t>
  </si>
  <si>
    <t>30311130185376</t>
  </si>
  <si>
    <t>Emp 298</t>
  </si>
  <si>
    <t>30302250172455</t>
  </si>
  <si>
    <t>Emp 299</t>
  </si>
  <si>
    <t>30305200162793</t>
  </si>
  <si>
    <t>Emp 300</t>
  </si>
  <si>
    <t>30301270156172</t>
  </si>
  <si>
    <t>Emp 301</t>
  </si>
  <si>
    <t>30306110163874</t>
  </si>
  <si>
    <t>Emp 302</t>
  </si>
  <si>
    <t>30310090155116</t>
  </si>
  <si>
    <t>Emp 303</t>
  </si>
  <si>
    <t>30302190162991</t>
  </si>
  <si>
    <t>Emp 304</t>
  </si>
  <si>
    <t>30305050171498</t>
  </si>
  <si>
    <t>Emp 305</t>
  </si>
  <si>
    <t>30307250177658</t>
  </si>
  <si>
    <t>Emp 306</t>
  </si>
  <si>
    <t>30308220161771</t>
  </si>
  <si>
    <t>Emp 307</t>
  </si>
  <si>
    <t>30307220187436</t>
  </si>
  <si>
    <t>Emp 308</t>
  </si>
  <si>
    <t>30310130164938</t>
  </si>
  <si>
    <t>Emp 309</t>
  </si>
  <si>
    <t>30312130152079</t>
  </si>
  <si>
    <t>Emp 310</t>
  </si>
  <si>
    <t>30305130178511</t>
  </si>
  <si>
    <t>Emp 311</t>
  </si>
  <si>
    <t>30307140189577</t>
  </si>
  <si>
    <t>Emp 312</t>
  </si>
  <si>
    <t>30304030152898</t>
  </si>
  <si>
    <t>Emp 313</t>
  </si>
  <si>
    <t>30301070172074</t>
  </si>
  <si>
    <t>Emp 314</t>
  </si>
  <si>
    <t>30302180180995</t>
  </si>
  <si>
    <t>Emp 315</t>
  </si>
  <si>
    <t>30311040153571</t>
  </si>
  <si>
    <t>Emp 316</t>
  </si>
  <si>
    <t>30306210154217</t>
  </si>
  <si>
    <t>Emp 317</t>
  </si>
  <si>
    <t>30304080153114</t>
  </si>
  <si>
    <t>Emp 318</t>
  </si>
  <si>
    <t>30312060160859</t>
  </si>
  <si>
    <t>Emp 319</t>
  </si>
  <si>
    <t>30306250159173</t>
  </si>
  <si>
    <t>Emp 320</t>
  </si>
  <si>
    <t>30309240180973</t>
  </si>
  <si>
    <t>Emp 321</t>
  </si>
  <si>
    <t>30305100159035</t>
  </si>
  <si>
    <t>Emp 322</t>
  </si>
  <si>
    <t>30301220173815</t>
  </si>
  <si>
    <t>Emp 323</t>
  </si>
  <si>
    <t>30305160181034</t>
  </si>
  <si>
    <t>Emp 324</t>
  </si>
  <si>
    <t>30308210152157</t>
  </si>
  <si>
    <t>Emp 325</t>
  </si>
  <si>
    <t>30312120159755</t>
  </si>
  <si>
    <t>Emp 326</t>
  </si>
  <si>
    <t>30308230151977</t>
  </si>
  <si>
    <t>Emp 327</t>
  </si>
  <si>
    <t>30312190165657</t>
  </si>
  <si>
    <t>Emp 328</t>
  </si>
  <si>
    <t>30301110171517</t>
  </si>
  <si>
    <t>Emp 329</t>
  </si>
  <si>
    <t>30311040189472</t>
  </si>
  <si>
    <t>Emp 330</t>
  </si>
  <si>
    <t>30311190166716</t>
  </si>
  <si>
    <t>Emp 331</t>
  </si>
  <si>
    <t>30304080175375</t>
  </si>
  <si>
    <t>Emp 332</t>
  </si>
  <si>
    <t>30309220156897</t>
  </si>
  <si>
    <t>Emp 333</t>
  </si>
  <si>
    <t>30310220157874</t>
  </si>
  <si>
    <t>Emp 334</t>
  </si>
  <si>
    <t>30301090159613</t>
  </si>
  <si>
    <t>Emp 335</t>
  </si>
  <si>
    <t>30312140151871</t>
  </si>
  <si>
    <t>Emp 336</t>
  </si>
  <si>
    <t>30310170155571</t>
  </si>
  <si>
    <t>Emp 337</t>
  </si>
  <si>
    <t>30310240183872</t>
  </si>
  <si>
    <t>Emp 338</t>
  </si>
  <si>
    <t>30311060177239</t>
  </si>
  <si>
    <t>Emp 339</t>
  </si>
  <si>
    <t>30303060188679</t>
  </si>
  <si>
    <t>Emp 340</t>
  </si>
  <si>
    <t>28405050154553</t>
  </si>
  <si>
    <t>Emp 341</t>
  </si>
  <si>
    <t>29701250184636</t>
  </si>
  <si>
    <t>Emp 342</t>
  </si>
  <si>
    <t>30211190160873</t>
  </si>
  <si>
    <t>Emp 343</t>
  </si>
  <si>
    <t>29312210180978</t>
  </si>
  <si>
    <t>Emp 344</t>
  </si>
  <si>
    <t>30111080168971</t>
  </si>
  <si>
    <t>Emp 345</t>
  </si>
  <si>
    <t>29701060160899</t>
  </si>
  <si>
    <t>Emp 346</t>
  </si>
  <si>
    <t>28905270178172</t>
  </si>
  <si>
    <t>Emp 347</t>
  </si>
  <si>
    <t>28809070172213</t>
  </si>
  <si>
    <t>Emp 348</t>
  </si>
  <si>
    <t>28306280175838</t>
  </si>
  <si>
    <t>Emp 349</t>
  </si>
  <si>
    <t>29606180151977</t>
  </si>
  <si>
    <t>Emp 350</t>
  </si>
  <si>
    <t>29610270164598</t>
  </si>
  <si>
    <t>Emp 351</t>
  </si>
  <si>
    <t>28803280155874</t>
  </si>
  <si>
    <t>Emp 352</t>
  </si>
  <si>
    <t>30308190159312</t>
  </si>
  <si>
    <t>Emp 353</t>
  </si>
  <si>
    <t>29005070184775</t>
  </si>
  <si>
    <t>Emp 354</t>
  </si>
  <si>
    <t>28607070161294</t>
  </si>
  <si>
    <t>Emp 355</t>
  </si>
  <si>
    <t>29112140174297</t>
  </si>
  <si>
    <t>Emp 356</t>
  </si>
  <si>
    <t>28812230176494</t>
  </si>
  <si>
    <t>Emp 357</t>
  </si>
  <si>
    <t>28312270189756</t>
  </si>
  <si>
    <t>Emp 358</t>
  </si>
  <si>
    <t>30201030184478</t>
  </si>
  <si>
    <t>Emp 359</t>
  </si>
  <si>
    <t>29207230180275</t>
  </si>
  <si>
    <t>Emp 360</t>
  </si>
  <si>
    <t>29711130161171</t>
  </si>
  <si>
    <t>Emp 361</t>
  </si>
  <si>
    <t>28410280168871</t>
  </si>
  <si>
    <t>Emp 362</t>
  </si>
  <si>
    <t>29611030184038</t>
  </si>
  <si>
    <t>Emp 363</t>
  </si>
  <si>
    <t>29007050159151</t>
  </si>
  <si>
    <t>Emp 364</t>
  </si>
  <si>
    <t>29911020177238</t>
  </si>
  <si>
    <t>Emp 365</t>
  </si>
  <si>
    <t>30008150172672</t>
  </si>
  <si>
    <t>Emp 366</t>
  </si>
  <si>
    <t>30204040162973</t>
  </si>
  <si>
    <t>Emp 367</t>
  </si>
  <si>
    <t>30209180167572</t>
  </si>
  <si>
    <t>Emp 368</t>
  </si>
  <si>
    <t>30105050188535</t>
  </si>
  <si>
    <t>Emp 369</t>
  </si>
  <si>
    <t>30110250190355</t>
  </si>
  <si>
    <t>Emp 370</t>
  </si>
  <si>
    <t>28809200190097</t>
  </si>
  <si>
    <t>Emp 371</t>
  </si>
  <si>
    <t>29701080174934</t>
  </si>
  <si>
    <t>Emp 372</t>
  </si>
  <si>
    <t>29706070188854</t>
  </si>
  <si>
    <t>Emp 373</t>
  </si>
  <si>
    <t>29502281752275</t>
  </si>
  <si>
    <t>Emp 374</t>
  </si>
  <si>
    <t>28211101381571</t>
  </si>
  <si>
    <t>Emp 375</t>
  </si>
  <si>
    <t>28807141776971</t>
  </si>
  <si>
    <t>Emp 376</t>
  </si>
  <si>
    <t>29410010257399</t>
  </si>
  <si>
    <t>Emp 377</t>
  </si>
  <si>
    <t>30212191778197</t>
  </si>
  <si>
    <t>Emp 378</t>
  </si>
  <si>
    <t>29103242162276</t>
  </si>
  <si>
    <t>Emp 379</t>
  </si>
  <si>
    <t>30305281984875</t>
  </si>
  <si>
    <t>Emp 380</t>
  </si>
  <si>
    <t>28904281775779</t>
  </si>
  <si>
    <t>Emp 381</t>
  </si>
  <si>
    <t>29208241788674</t>
  </si>
  <si>
    <t>Emp 382</t>
  </si>
  <si>
    <t>28804201991331</t>
  </si>
  <si>
    <t>Emp 383</t>
  </si>
  <si>
    <t>29912190268873</t>
  </si>
  <si>
    <t>Emp 384</t>
  </si>
  <si>
    <t>28511270289737</t>
  </si>
  <si>
    <t>Emp 385</t>
  </si>
  <si>
    <t>28410091970197</t>
  </si>
  <si>
    <t>Emp 386</t>
  </si>
  <si>
    <t>30011161982577</t>
  </si>
  <si>
    <t>Emp 387</t>
  </si>
  <si>
    <t>28506010187699</t>
  </si>
  <si>
    <t>Emp 388</t>
  </si>
  <si>
    <t>30211280158378</t>
  </si>
  <si>
    <t>Emp 389</t>
  </si>
  <si>
    <t>28705181371276</t>
  </si>
  <si>
    <t>Emp 390</t>
  </si>
  <si>
    <t>29111170161753</t>
  </si>
  <si>
    <t>Emp 391</t>
  </si>
  <si>
    <t>29311202177153</t>
  </si>
  <si>
    <t>Emp 392</t>
  </si>
  <si>
    <t>30011262158379</t>
  </si>
  <si>
    <t>Emp 393</t>
  </si>
  <si>
    <t>28910242183411</t>
  </si>
  <si>
    <t>Emp 394</t>
  </si>
  <si>
    <t>29202222160157</t>
  </si>
  <si>
    <t>Emp 395</t>
  </si>
  <si>
    <t>29710160177776</t>
  </si>
  <si>
    <t>Emp 396</t>
  </si>
  <si>
    <t>30011170186057</t>
  </si>
  <si>
    <t>Emp 397</t>
  </si>
  <si>
    <t>28805231978662</t>
  </si>
  <si>
    <t>Emp 398</t>
  </si>
  <si>
    <t>28202032174849</t>
  </si>
  <si>
    <t>Emp 399</t>
  </si>
  <si>
    <t>28508090151694</t>
  </si>
  <si>
    <t>Emp 400</t>
  </si>
  <si>
    <t>28701251354837</t>
  </si>
  <si>
    <t>Emp 401</t>
  </si>
  <si>
    <t>30306170157334</t>
  </si>
  <si>
    <t>Emp 402</t>
  </si>
  <si>
    <t>29907192162821</t>
  </si>
  <si>
    <t>Emp 403</t>
  </si>
  <si>
    <t>29905181776381</t>
  </si>
  <si>
    <t>Emp 404</t>
  </si>
  <si>
    <t>30311242182473</t>
  </si>
  <si>
    <t>Emp 405</t>
  </si>
  <si>
    <t>30006041355443</t>
  </si>
  <si>
    <t>Emp 406</t>
  </si>
  <si>
    <t>28510021361174</t>
  </si>
  <si>
    <t>Emp 407</t>
  </si>
  <si>
    <t>29609241754535</t>
  </si>
  <si>
    <t>Emp 408</t>
  </si>
  <si>
    <t>29807021981489</t>
  </si>
  <si>
    <t>Emp 409</t>
  </si>
  <si>
    <t>29411041764915</t>
  </si>
  <si>
    <t>Emp 410</t>
  </si>
  <si>
    <t>29905091375251</t>
  </si>
  <si>
    <t>Emp 411</t>
  </si>
  <si>
    <t>29206071370519</t>
  </si>
  <si>
    <t>Emp 412</t>
  </si>
  <si>
    <t>28408081754374</t>
  </si>
  <si>
    <t>Emp 413</t>
  </si>
  <si>
    <t>29904020268699</t>
  </si>
  <si>
    <t>Emp 414</t>
  </si>
  <si>
    <t>28502111987426</t>
  </si>
  <si>
    <t>Emp 415</t>
  </si>
  <si>
    <t>28310030266024</t>
  </si>
  <si>
    <t>Emp 416</t>
  </si>
  <si>
    <t>29103241790928</t>
  </si>
  <si>
    <t>Emp 417</t>
  </si>
  <si>
    <t>29010101960366</t>
  </si>
  <si>
    <t>Emp 418</t>
  </si>
  <si>
    <t>29304030259732</t>
  </si>
  <si>
    <t>Emp 419</t>
  </si>
  <si>
    <t>30102202162449</t>
  </si>
  <si>
    <t>Emp 420</t>
  </si>
  <si>
    <t>29601192175142</t>
  </si>
  <si>
    <t>Emp 421</t>
  </si>
  <si>
    <t>28312282159528</t>
  </si>
  <si>
    <t>Emp 422</t>
  </si>
  <si>
    <t>29307252179711</t>
  </si>
  <si>
    <t>Emp 423</t>
  </si>
  <si>
    <t>30310181391395</t>
  </si>
  <si>
    <t>Emp 424</t>
  </si>
  <si>
    <t>29708190266877</t>
  </si>
  <si>
    <t>Emp 425</t>
  </si>
  <si>
    <t>29107120158079</t>
  </si>
  <si>
    <t>Emp 426</t>
  </si>
  <si>
    <t>28908061386879</t>
  </si>
  <si>
    <t>Emp 427</t>
  </si>
  <si>
    <t>29608031954699</t>
  </si>
  <si>
    <t>Emp 428</t>
  </si>
  <si>
    <t>28509271379313</t>
  </si>
  <si>
    <t>Emp 429</t>
  </si>
  <si>
    <t>29502200280228</t>
  </si>
  <si>
    <t>Emp 430</t>
  </si>
  <si>
    <t>28305271377956</t>
  </si>
  <si>
    <t>Emp 431</t>
  </si>
  <si>
    <t>30208061391192</t>
  </si>
  <si>
    <t>Emp 432</t>
  </si>
  <si>
    <t>29312081786591</t>
  </si>
  <si>
    <t>Emp 433</t>
  </si>
  <si>
    <t>28311151988767</t>
  </si>
  <si>
    <t>Emp 434</t>
  </si>
  <si>
    <t>29107021380472</t>
  </si>
  <si>
    <t>Emp 435</t>
  </si>
  <si>
    <t>29211091768034</t>
  </si>
  <si>
    <t>Emp 436</t>
  </si>
  <si>
    <t>29909110182528</t>
  </si>
  <si>
    <t>Emp 437</t>
  </si>
  <si>
    <t>29609181368799</t>
  </si>
  <si>
    <t>Emp 438</t>
  </si>
  <si>
    <t>29006260258225</t>
  </si>
  <si>
    <t>Emp 439</t>
  </si>
  <si>
    <t>29008111960865</t>
  </si>
  <si>
    <t>Emp 440</t>
  </si>
  <si>
    <t>30212202185637</t>
  </si>
  <si>
    <t>Emp 441</t>
  </si>
  <si>
    <t>30007051382386</t>
  </si>
  <si>
    <t>Emp 442</t>
  </si>
  <si>
    <t>29101271789492</t>
  </si>
  <si>
    <t>Emp 443</t>
  </si>
  <si>
    <t>29906231971539</t>
  </si>
  <si>
    <t>Emp 444</t>
  </si>
  <si>
    <t>28709081390974</t>
  </si>
  <si>
    <t>Emp 445</t>
  </si>
  <si>
    <t>30206011985462</t>
  </si>
  <si>
    <t>Emp 446</t>
  </si>
  <si>
    <t>30012071352992</t>
  </si>
  <si>
    <t>Emp 447</t>
  </si>
  <si>
    <t>30002010253434</t>
  </si>
  <si>
    <t>Emp 448</t>
  </si>
  <si>
    <t>29404191369584</t>
  </si>
  <si>
    <t>Emp 449</t>
  </si>
  <si>
    <t>29802010272754</t>
  </si>
  <si>
    <t>Emp 450</t>
  </si>
  <si>
    <t>29010082171863</t>
  </si>
  <si>
    <t>Emp 451</t>
  </si>
  <si>
    <t>29501051973758</t>
  </si>
  <si>
    <t>Emp 452</t>
  </si>
  <si>
    <t>30106281753213</t>
  </si>
  <si>
    <t>Emp 453</t>
  </si>
  <si>
    <t>28703100289056</t>
  </si>
  <si>
    <t>Emp 454</t>
  </si>
  <si>
    <t>28904042164994</t>
  </si>
  <si>
    <t>Emp 455</t>
  </si>
  <si>
    <t>29105181787532</t>
  </si>
  <si>
    <t>Emp 456</t>
  </si>
  <si>
    <t>28406020151568</t>
  </si>
  <si>
    <t>Emp 457</t>
  </si>
  <si>
    <t>29111202182385</t>
  </si>
  <si>
    <t>Emp 458</t>
  </si>
  <si>
    <t>29103122157382</t>
  </si>
  <si>
    <t>Emp 459</t>
  </si>
  <si>
    <t>28201151988264</t>
  </si>
  <si>
    <t>Emp 460</t>
  </si>
  <si>
    <t>28703130169646</t>
  </si>
  <si>
    <t>Emp 461</t>
  </si>
  <si>
    <t>28901151991494</t>
  </si>
  <si>
    <t>Emp 462</t>
  </si>
  <si>
    <t>29811090286782</t>
  </si>
  <si>
    <t>Emp 463</t>
  </si>
  <si>
    <t>28904031375916</t>
  </si>
  <si>
    <t>Emp 464</t>
  </si>
  <si>
    <t>30203070285335</t>
  </si>
  <si>
    <t>Emp 465</t>
  </si>
  <si>
    <t>28811010283052</t>
  </si>
  <si>
    <t>Emp 466</t>
  </si>
  <si>
    <t>29007141953493</t>
  </si>
  <si>
    <t>Emp 467</t>
  </si>
  <si>
    <t>28801091967832</t>
  </si>
  <si>
    <t>Emp 468</t>
  </si>
  <si>
    <t>29308020276217</t>
  </si>
  <si>
    <t>Emp 469</t>
  </si>
  <si>
    <t>28612170191264</t>
  </si>
  <si>
    <t>Emp 470</t>
  </si>
  <si>
    <t>28210112170556</t>
  </si>
  <si>
    <t>Emp 471</t>
  </si>
  <si>
    <t>28403081757285</t>
  </si>
  <si>
    <t>Emp 472</t>
  </si>
  <si>
    <t>29912122165134</t>
  </si>
  <si>
    <t>Emp 473</t>
  </si>
  <si>
    <t>30108260288595</t>
  </si>
  <si>
    <t>Emp 474</t>
  </si>
  <si>
    <t>28803102184566</t>
  </si>
  <si>
    <t>Emp 475</t>
  </si>
  <si>
    <t>29409192170066</t>
  </si>
  <si>
    <t>Emp 476</t>
  </si>
  <si>
    <t>29907251986177</t>
  </si>
  <si>
    <t>Emp 477</t>
  </si>
  <si>
    <t>28708101379629</t>
  </si>
  <si>
    <t>Emp 478</t>
  </si>
  <si>
    <t>30209111979192</t>
  </si>
  <si>
    <t>Emp 479</t>
  </si>
  <si>
    <t>29601131368612</t>
  </si>
  <si>
    <t>Emp 480</t>
  </si>
  <si>
    <t>29110070157998</t>
  </si>
  <si>
    <t>Emp 481</t>
  </si>
  <si>
    <t>29203070261343</t>
  </si>
  <si>
    <t>Emp 482</t>
  </si>
  <si>
    <t>28902200274738</t>
  </si>
  <si>
    <t>Emp 483</t>
  </si>
  <si>
    <t>28312161388341</t>
  </si>
  <si>
    <t>Emp 484</t>
  </si>
  <si>
    <t>29712262186872</t>
  </si>
  <si>
    <t>Emp 485</t>
  </si>
  <si>
    <t>30206090261575</t>
  </si>
  <si>
    <t>Emp 486</t>
  </si>
  <si>
    <t>29403040180515</t>
  </si>
  <si>
    <t>Emp 487</t>
  </si>
  <si>
    <t>30110040291222</t>
  </si>
  <si>
    <t>Emp 488</t>
  </si>
  <si>
    <t>29702010252856</t>
  </si>
  <si>
    <t>Emp 489</t>
  </si>
  <si>
    <t>28809120169635</t>
  </si>
  <si>
    <t>Emp 490</t>
  </si>
  <si>
    <t>28506211760523</t>
  </si>
  <si>
    <t>Emp 491</t>
  </si>
  <si>
    <t>28202120172591</t>
  </si>
  <si>
    <t>Emp 492</t>
  </si>
  <si>
    <t>29403122162319</t>
  </si>
  <si>
    <t>Emp 493</t>
  </si>
  <si>
    <t>30105030276497</t>
  </si>
  <si>
    <t>Emp 494</t>
  </si>
  <si>
    <t>28705132183783</t>
  </si>
  <si>
    <t>Emp 495</t>
  </si>
  <si>
    <t>28304211961271</t>
  </si>
  <si>
    <t>Emp 496</t>
  </si>
  <si>
    <t>28602082166511</t>
  </si>
  <si>
    <t>Emp 497</t>
  </si>
  <si>
    <t>28210220290845</t>
  </si>
  <si>
    <t>Emp 498</t>
  </si>
  <si>
    <t>28611042186448</t>
  </si>
  <si>
    <t>Emp 499</t>
  </si>
  <si>
    <t>28806061765115</t>
  </si>
  <si>
    <t>Emp 500</t>
  </si>
  <si>
    <t>29607251989444</t>
  </si>
  <si>
    <t>Emp 501</t>
  </si>
  <si>
    <t>28412061984349</t>
  </si>
  <si>
    <t>Emp 502</t>
  </si>
  <si>
    <t>29404100174954</t>
  </si>
  <si>
    <t>Emp 503</t>
  </si>
  <si>
    <t>28703200181894</t>
  </si>
  <si>
    <t>Emp 504</t>
  </si>
  <si>
    <t>28703050253181</t>
  </si>
  <si>
    <t>Emp 505</t>
  </si>
  <si>
    <t>28510230291475</t>
  </si>
  <si>
    <t>Emp 506</t>
  </si>
  <si>
    <t>29504251757846</t>
  </si>
  <si>
    <t>Emp 507</t>
  </si>
  <si>
    <t>28708220286555</t>
  </si>
  <si>
    <t>Emp 508</t>
  </si>
  <si>
    <t>29709051376656</t>
  </si>
  <si>
    <t>Emp 509</t>
  </si>
  <si>
    <t>29012071965461</t>
  </si>
  <si>
    <t>Emp 510</t>
  </si>
  <si>
    <t>28207281389554</t>
  </si>
  <si>
    <t>Emp 511</t>
  </si>
  <si>
    <t>28803121755127</t>
  </si>
  <si>
    <t>Emp 512</t>
  </si>
  <si>
    <t>28601061378857</t>
  </si>
  <si>
    <t>Emp 513</t>
  </si>
  <si>
    <t>30305251967318</t>
  </si>
  <si>
    <t>Emp 514</t>
  </si>
  <si>
    <t>30309230171747</t>
  </si>
  <si>
    <t>Emp 515</t>
  </si>
  <si>
    <t>28203200264968</t>
  </si>
  <si>
    <t>Emp 516</t>
  </si>
  <si>
    <t>28510090183385</t>
  </si>
  <si>
    <t>Emp 517</t>
  </si>
  <si>
    <t>28407261974167</t>
  </si>
  <si>
    <t>Emp 518</t>
  </si>
  <si>
    <t>30310191381619</t>
  </si>
  <si>
    <t>Emp 519</t>
  </si>
  <si>
    <t>29610170151972</t>
  </si>
  <si>
    <t>Emp 520</t>
  </si>
  <si>
    <t>29907210283964</t>
  </si>
  <si>
    <t>Emp 521</t>
  </si>
  <si>
    <t>29810070176895</t>
  </si>
  <si>
    <t>Emp 522</t>
  </si>
  <si>
    <t>28808111773212</t>
  </si>
  <si>
    <t>Emp 523</t>
  </si>
  <si>
    <t>30009092184148</t>
  </si>
  <si>
    <t>Emp 524</t>
  </si>
  <si>
    <t>30108131378483</t>
  </si>
  <si>
    <t>Emp 525</t>
  </si>
  <si>
    <t>29511021372258</t>
  </si>
  <si>
    <t>Emp 526</t>
  </si>
  <si>
    <t>30010161984392</t>
  </si>
  <si>
    <t>Emp 527</t>
  </si>
  <si>
    <t>29902261953849</t>
  </si>
  <si>
    <t>Emp 528</t>
  </si>
  <si>
    <t>30106082155245</t>
  </si>
  <si>
    <t>Emp 529</t>
  </si>
  <si>
    <t>29911260179187</t>
  </si>
  <si>
    <t>Emp 530</t>
  </si>
  <si>
    <t>28409151373285</t>
  </si>
  <si>
    <t>Emp 531</t>
  </si>
  <si>
    <t>28312270170492</t>
  </si>
  <si>
    <t>Emp 532</t>
  </si>
  <si>
    <t>29009090165762</t>
  </si>
  <si>
    <t>Emp 533</t>
  </si>
  <si>
    <t>29609242181473</t>
  </si>
  <si>
    <t>Emp 534</t>
  </si>
  <si>
    <t>30310091374356</t>
  </si>
  <si>
    <t>Emp 535</t>
  </si>
  <si>
    <t>28605181357572</t>
  </si>
  <si>
    <t>Emp 536</t>
  </si>
  <si>
    <t>29509050253858</t>
  </si>
  <si>
    <t>Emp 537</t>
  </si>
  <si>
    <t>29705250153833</t>
  </si>
  <si>
    <t>Emp 538</t>
  </si>
  <si>
    <t>29502070157527</t>
  </si>
  <si>
    <t>Emp 539</t>
  </si>
  <si>
    <t>29004260190713</t>
  </si>
  <si>
    <t>Emp 540</t>
  </si>
  <si>
    <t>29405012175647</t>
  </si>
  <si>
    <t>Emp 541</t>
  </si>
  <si>
    <t>29208161967296</t>
  </si>
  <si>
    <t>Emp 542</t>
  </si>
  <si>
    <t>28703011762078</t>
  </si>
  <si>
    <t>Emp 543</t>
  </si>
  <si>
    <t>30003120256492</t>
  </si>
  <si>
    <t>Emp 544</t>
  </si>
  <si>
    <t>30203190158357</t>
  </si>
  <si>
    <t>Emp 545</t>
  </si>
  <si>
    <t>29106270179993</t>
  </si>
  <si>
    <t>Emp 546</t>
  </si>
  <si>
    <t>29701220291189</t>
  </si>
  <si>
    <t>Emp 547</t>
  </si>
  <si>
    <t>30303020270326</t>
  </si>
  <si>
    <t>Emp 548</t>
  </si>
  <si>
    <t>29804180265533</t>
  </si>
  <si>
    <t>Emp 549</t>
  </si>
  <si>
    <t>29912171367692</t>
  </si>
  <si>
    <t>Emp 550</t>
  </si>
  <si>
    <t>29101062170426</t>
  </si>
  <si>
    <t>Emp 551</t>
  </si>
  <si>
    <t>29011100271816</t>
  </si>
  <si>
    <t>Emp 552</t>
  </si>
  <si>
    <t>28906030181133</t>
  </si>
  <si>
    <t>Emp 553</t>
  </si>
  <si>
    <t>29401071955226</t>
  </si>
  <si>
    <t>Emp 554</t>
  </si>
  <si>
    <t>28310191985771</t>
  </si>
  <si>
    <t>Emp 555</t>
  </si>
  <si>
    <t>29111051758633</t>
  </si>
  <si>
    <t>Emp 556</t>
  </si>
  <si>
    <t>29112091962829</t>
  </si>
  <si>
    <t>Emp 557</t>
  </si>
  <si>
    <t>30001160166412</t>
  </si>
  <si>
    <t>Emp 558</t>
  </si>
  <si>
    <t>29408142176945</t>
  </si>
  <si>
    <t>Emp 559</t>
  </si>
  <si>
    <t>29801152167561</t>
  </si>
  <si>
    <t>Emp 560</t>
  </si>
  <si>
    <t>28806242152098</t>
  </si>
  <si>
    <t>Emp 561</t>
  </si>
  <si>
    <t>28208161369889</t>
  </si>
  <si>
    <t>Emp 562</t>
  </si>
  <si>
    <t>29208211955232</t>
  </si>
  <si>
    <t>Emp 563</t>
  </si>
  <si>
    <t>29809091369163</t>
  </si>
  <si>
    <t>Emp 564</t>
  </si>
  <si>
    <t>29605151970627</t>
  </si>
  <si>
    <t>Emp 565</t>
  </si>
  <si>
    <t>29407042188223</t>
  </si>
  <si>
    <t>Emp 566</t>
  </si>
  <si>
    <t>28305211359225</t>
  </si>
  <si>
    <t>Emp 567</t>
  </si>
  <si>
    <t>30110171971581</t>
  </si>
  <si>
    <t>Emp 568</t>
  </si>
  <si>
    <t>30110061979058</t>
  </si>
  <si>
    <t>Emp 569</t>
  </si>
  <si>
    <t>29110090252291</t>
  </si>
  <si>
    <t>Emp 570</t>
  </si>
  <si>
    <t>29302041990927</t>
  </si>
  <si>
    <t>Emp 571</t>
  </si>
  <si>
    <t>29107250263286</t>
  </si>
  <si>
    <t>Emp 572</t>
  </si>
  <si>
    <t>30304260172613</t>
  </si>
  <si>
    <t>Emp 573</t>
  </si>
  <si>
    <t>29602051363069</t>
  </si>
  <si>
    <t>Emp 574</t>
  </si>
  <si>
    <t>28908180259576</t>
  </si>
  <si>
    <t>Emp 575</t>
  </si>
  <si>
    <t>29801042155887</t>
  </si>
  <si>
    <t>Emp 576</t>
  </si>
  <si>
    <t>29008112163845</t>
  </si>
  <si>
    <t>Emp 577</t>
  </si>
  <si>
    <t>29908012180021</t>
  </si>
  <si>
    <t>Emp 578</t>
  </si>
  <si>
    <t>29701281770499</t>
  </si>
  <si>
    <t>Emp 579</t>
  </si>
  <si>
    <t>30108010153282</t>
  </si>
  <si>
    <t>Emp 580</t>
  </si>
  <si>
    <t>29308010180515</t>
  </si>
  <si>
    <t>Emp 581</t>
  </si>
  <si>
    <t>29310081787026</t>
  </si>
  <si>
    <t>Emp 582</t>
  </si>
  <si>
    <t>29805180256256</t>
  </si>
  <si>
    <t>Emp 583</t>
  </si>
  <si>
    <t>29403251382359</t>
  </si>
  <si>
    <t>Emp 584</t>
  </si>
  <si>
    <t>28707261962885</t>
  </si>
  <si>
    <t>Emp 585</t>
  </si>
  <si>
    <t>28207191374282</t>
  </si>
  <si>
    <t>Emp 586</t>
  </si>
  <si>
    <t>28407150253959</t>
  </si>
  <si>
    <t>Emp 587</t>
  </si>
  <si>
    <t>28307152190456</t>
  </si>
  <si>
    <t>Emp 588</t>
  </si>
  <si>
    <t>28511111969741</t>
  </si>
  <si>
    <t>Emp 589</t>
  </si>
  <si>
    <t>29410231354228</t>
  </si>
  <si>
    <t>Emp 590</t>
  </si>
  <si>
    <t>28304232187012</t>
  </si>
  <si>
    <t>Emp 591</t>
  </si>
  <si>
    <t>29403200274955</t>
  </si>
  <si>
    <t>Emp 592</t>
  </si>
  <si>
    <t>28901060161963</t>
  </si>
  <si>
    <t>Emp 593</t>
  </si>
  <si>
    <t>28704282175678</t>
  </si>
  <si>
    <t>Emp 594</t>
  </si>
  <si>
    <t>30202221367075</t>
  </si>
  <si>
    <t>Emp 595</t>
  </si>
  <si>
    <t>28610231977671</t>
  </si>
  <si>
    <t>Emp 596</t>
  </si>
  <si>
    <t>30108041380675</t>
  </si>
  <si>
    <t>Emp 597</t>
  </si>
  <si>
    <t>30101151357349</t>
  </si>
  <si>
    <t>Emp 598</t>
  </si>
  <si>
    <t>30112011390346</t>
  </si>
  <si>
    <t>Emp 599</t>
  </si>
  <si>
    <t>29503251975898</t>
  </si>
  <si>
    <t>Emp 600</t>
  </si>
  <si>
    <t>28301250269936</t>
  </si>
  <si>
    <t>Emp 601</t>
  </si>
  <si>
    <t>28302160189583</t>
  </si>
  <si>
    <t>Emp 602</t>
  </si>
  <si>
    <t>30206120263883</t>
  </si>
  <si>
    <t>Emp 603</t>
  </si>
  <si>
    <t>30107230176386</t>
  </si>
  <si>
    <t>Emp 604</t>
  </si>
  <si>
    <t>29802101970387</t>
  </si>
  <si>
    <t>Emp 605</t>
  </si>
  <si>
    <t>28612030187145</t>
  </si>
  <si>
    <t>Emp 606</t>
  </si>
  <si>
    <t>28412070164017</t>
  </si>
  <si>
    <t>Emp 607</t>
  </si>
  <si>
    <t>30011221781274</t>
  </si>
  <si>
    <t>Emp 608</t>
  </si>
  <si>
    <t>29105062160793</t>
  </si>
  <si>
    <t>Emp 609</t>
  </si>
  <si>
    <t>30106100155671</t>
  </si>
  <si>
    <t>Emp 610</t>
  </si>
  <si>
    <t>29304100275799</t>
  </si>
  <si>
    <t>Emp 611</t>
  </si>
  <si>
    <t>29208210262634</t>
  </si>
  <si>
    <t>Emp 612</t>
  </si>
  <si>
    <t>28505270182259</t>
  </si>
  <si>
    <t>Emp 613</t>
  </si>
  <si>
    <t>29812060170612</t>
  </si>
  <si>
    <t>Emp 614</t>
  </si>
  <si>
    <t>29912121788459</t>
  </si>
  <si>
    <t>Emp 615</t>
  </si>
  <si>
    <t>28308091770086</t>
  </si>
  <si>
    <t>Emp 616</t>
  </si>
  <si>
    <t>28304081366986</t>
  </si>
  <si>
    <t>Emp 617</t>
  </si>
  <si>
    <t>30009071374883</t>
  </si>
  <si>
    <t>Emp 618</t>
  </si>
  <si>
    <t>28306040178957</t>
  </si>
  <si>
    <t>Emp 619</t>
  </si>
  <si>
    <t>29105162158253</t>
  </si>
  <si>
    <t>Emp 620</t>
  </si>
  <si>
    <t>28808281760387</t>
  </si>
  <si>
    <t>Emp 621</t>
  </si>
  <si>
    <t>29501200158514</t>
  </si>
  <si>
    <t>Emp 622</t>
  </si>
  <si>
    <t>29701061380412</t>
  </si>
  <si>
    <t>Emp 623</t>
  </si>
  <si>
    <t>29608111376574</t>
  </si>
  <si>
    <t>Emp 624</t>
  </si>
  <si>
    <t>29201042159859</t>
  </si>
  <si>
    <t>Emp 625</t>
  </si>
  <si>
    <t>29012050271921</t>
  </si>
  <si>
    <t>Emp 626</t>
  </si>
  <si>
    <t>29212101972277</t>
  </si>
  <si>
    <t>Emp 627</t>
  </si>
  <si>
    <t>28307210289163</t>
  </si>
  <si>
    <t>Emp 628</t>
  </si>
  <si>
    <t>30201230176954</t>
  </si>
  <si>
    <t>Emp 629</t>
  </si>
  <si>
    <t>28503130281698</t>
  </si>
  <si>
    <t>Emp 630</t>
  </si>
  <si>
    <t>29402211375112</t>
  </si>
  <si>
    <t>Emp 631</t>
  </si>
  <si>
    <t>29604060183238</t>
  </si>
  <si>
    <t>Emp 632</t>
  </si>
  <si>
    <t>28611070170174</t>
  </si>
  <si>
    <t>Emp 633</t>
  </si>
  <si>
    <t>29711040167675</t>
  </si>
  <si>
    <t>Emp 634</t>
  </si>
  <si>
    <t>28302181788886</t>
  </si>
  <si>
    <t>Emp 635</t>
  </si>
  <si>
    <t>29303220252645</t>
  </si>
  <si>
    <t>Emp 636</t>
  </si>
  <si>
    <t>29404070278325</t>
  </si>
  <si>
    <t>Emp 637</t>
  </si>
  <si>
    <t>29902280187665</t>
  </si>
  <si>
    <t>Emp 638</t>
  </si>
  <si>
    <t>28810281754886</t>
  </si>
  <si>
    <t>Emp 639</t>
  </si>
  <si>
    <t>29109281382289</t>
  </si>
  <si>
    <t>Emp 640</t>
  </si>
  <si>
    <t>29112191977897</t>
  </si>
  <si>
    <t>Emp 641</t>
  </si>
  <si>
    <t>30310161967326</t>
  </si>
  <si>
    <t>Emp 642</t>
  </si>
  <si>
    <t>29010271360624</t>
  </si>
  <si>
    <t>Emp 643</t>
  </si>
  <si>
    <t>28707111380935</t>
  </si>
  <si>
    <t>Emp 644</t>
  </si>
  <si>
    <t>28808182168237</t>
  </si>
  <si>
    <t>Emp 645</t>
  </si>
  <si>
    <t>28610251969752</t>
  </si>
  <si>
    <t>Emp 646</t>
  </si>
  <si>
    <t>29805161971358</t>
  </si>
  <si>
    <t>Emp 647</t>
  </si>
  <si>
    <t>29101101773486</t>
  </si>
  <si>
    <t>Emp 648</t>
  </si>
  <si>
    <t>28409211357218</t>
  </si>
  <si>
    <t>Emp 649</t>
  </si>
  <si>
    <t>28704091388054</t>
  </si>
  <si>
    <t>Emp 650</t>
  </si>
  <si>
    <t>29811131969289</t>
  </si>
  <si>
    <t>Emp 651</t>
  </si>
  <si>
    <t>30005131763839</t>
  </si>
  <si>
    <t>Emp 652</t>
  </si>
  <si>
    <t>28305030169423</t>
  </si>
  <si>
    <t>Emp 653</t>
  </si>
  <si>
    <t>30306170291467</t>
  </si>
  <si>
    <t>Emp 654</t>
  </si>
  <si>
    <t>28406141980476</t>
  </si>
  <si>
    <t>Emp 655</t>
  </si>
  <si>
    <t>29403181386732</t>
  </si>
  <si>
    <t>Emp 656</t>
  </si>
  <si>
    <t>28506120263486</t>
  </si>
  <si>
    <t>Emp 657</t>
  </si>
  <si>
    <t>29403232184777</t>
  </si>
  <si>
    <t>Emp 658</t>
  </si>
  <si>
    <t>29910062155545</t>
  </si>
  <si>
    <t>Emp 659</t>
  </si>
  <si>
    <t>29410071954153</t>
  </si>
  <si>
    <t>Emp 660</t>
  </si>
  <si>
    <t>28711030152742</t>
  </si>
  <si>
    <t>Emp 661</t>
  </si>
  <si>
    <t>28311101779165</t>
  </si>
  <si>
    <t>Emp 662</t>
  </si>
  <si>
    <t>29102210162655</t>
  </si>
  <si>
    <t>Emp 663</t>
  </si>
  <si>
    <t>28303240182233</t>
  </si>
  <si>
    <t>Emp 664</t>
  </si>
  <si>
    <t>30008201980397</t>
  </si>
  <si>
    <t>Emp 665</t>
  </si>
  <si>
    <t>29301251357049</t>
  </si>
  <si>
    <t>Emp 666</t>
  </si>
  <si>
    <t>28509112170956</t>
  </si>
  <si>
    <t>Emp 667</t>
  </si>
  <si>
    <t>29406030275037</t>
  </si>
  <si>
    <t>Emp 668</t>
  </si>
  <si>
    <t>30311251988533</t>
  </si>
  <si>
    <t>Emp 669</t>
  </si>
  <si>
    <t>30207151757782</t>
  </si>
  <si>
    <t>Emp 670</t>
  </si>
  <si>
    <t>29502120288123</t>
  </si>
  <si>
    <t>Emp 671</t>
  </si>
  <si>
    <t>28402262186476</t>
  </si>
  <si>
    <t>Emp 672</t>
  </si>
  <si>
    <t>29304252182993</t>
  </si>
  <si>
    <t>Emp 673</t>
  </si>
  <si>
    <t>29403120266931</t>
  </si>
  <si>
    <t>Emp 674</t>
  </si>
  <si>
    <t>28908032183062</t>
  </si>
  <si>
    <t>Emp 675</t>
  </si>
  <si>
    <t>28307021760157</t>
  </si>
  <si>
    <t>Emp 676</t>
  </si>
  <si>
    <t>30312161751942</t>
  </si>
  <si>
    <t>Emp 677</t>
  </si>
  <si>
    <t>28503251959189</t>
  </si>
  <si>
    <t>Emp 678</t>
  </si>
  <si>
    <t>28910271785091</t>
  </si>
  <si>
    <t>Emp 679</t>
  </si>
  <si>
    <t>29405232185341</t>
  </si>
  <si>
    <t>Emp 680</t>
  </si>
  <si>
    <t>29106241953094</t>
  </si>
  <si>
    <t>Emp 681</t>
  </si>
  <si>
    <t>30208200256158</t>
  </si>
  <si>
    <t>Emp 682</t>
  </si>
  <si>
    <t>28808161369749</t>
  </si>
  <si>
    <t>Emp 683</t>
  </si>
  <si>
    <t>29806010279541</t>
  </si>
  <si>
    <t>Emp 684</t>
  </si>
  <si>
    <t>28206010278017</t>
  </si>
  <si>
    <t>Emp 685</t>
  </si>
  <si>
    <t>29812182190154</t>
  </si>
  <si>
    <t>Emp 686</t>
  </si>
  <si>
    <t>29003281378057</t>
  </si>
  <si>
    <t>Emp 687</t>
  </si>
  <si>
    <t>29307040286229</t>
  </si>
  <si>
    <t>Emp 688</t>
  </si>
  <si>
    <t>29302281986581</t>
  </si>
  <si>
    <t>Emp 689</t>
  </si>
  <si>
    <t>29406211368558</t>
  </si>
  <si>
    <t>Emp 690</t>
  </si>
  <si>
    <t>28712111361965</t>
  </si>
  <si>
    <t>Emp 691</t>
  </si>
  <si>
    <t>29201161363165</t>
  </si>
  <si>
    <t>Emp 692</t>
  </si>
  <si>
    <t>28811011763493</t>
  </si>
  <si>
    <t>Emp 693</t>
  </si>
  <si>
    <t>28305081356348</t>
  </si>
  <si>
    <t>Emp 694</t>
  </si>
  <si>
    <t>30109152151564</t>
  </si>
  <si>
    <t>Emp 695</t>
  </si>
  <si>
    <t>28602231384615</t>
  </si>
  <si>
    <t>Emp 696</t>
  </si>
  <si>
    <t>30108031975475</t>
  </si>
  <si>
    <t>Emp 697</t>
  </si>
  <si>
    <t>28503181382794</t>
  </si>
  <si>
    <t>Emp 698</t>
  </si>
  <si>
    <t>29507191751781</t>
  </si>
  <si>
    <t>Emp 699</t>
  </si>
  <si>
    <t>28210101766421</t>
  </si>
  <si>
    <t>Emp 700</t>
  </si>
  <si>
    <t>29107202180529</t>
  </si>
  <si>
    <t>Emp 701</t>
  </si>
  <si>
    <t>28311141370772</t>
  </si>
  <si>
    <t>Emp 702</t>
  </si>
  <si>
    <t>28710162172917</t>
  </si>
  <si>
    <t>Emp 703</t>
  </si>
  <si>
    <t>28905200275281</t>
  </si>
  <si>
    <t>Emp 704</t>
  </si>
  <si>
    <t>28206161373716</t>
  </si>
  <si>
    <t>Emp 705</t>
  </si>
  <si>
    <t>29204071369327</t>
  </si>
  <si>
    <t>Emp 706</t>
  </si>
  <si>
    <t>29509220277324</t>
  </si>
  <si>
    <t>Emp 707</t>
  </si>
  <si>
    <t>30311162174463</t>
  </si>
  <si>
    <t>Emp 708</t>
  </si>
  <si>
    <t>29608171768279</t>
  </si>
  <si>
    <t>Emp 709</t>
  </si>
  <si>
    <t>29902121979343</t>
  </si>
  <si>
    <t>Emp 710</t>
  </si>
  <si>
    <t>28707250260827</t>
  </si>
  <si>
    <t>Emp 711</t>
  </si>
  <si>
    <t>29501281762031</t>
  </si>
  <si>
    <t>Emp 712</t>
  </si>
  <si>
    <t>29208021372414</t>
  </si>
  <si>
    <t>Emp 713</t>
  </si>
  <si>
    <t>28601091371363</t>
  </si>
  <si>
    <t>Emp 714</t>
  </si>
  <si>
    <t>29407201382112</t>
  </si>
  <si>
    <t>Emp 715</t>
  </si>
  <si>
    <t>28208161767489</t>
  </si>
  <si>
    <t>Emp 716</t>
  </si>
  <si>
    <t>28610140265466</t>
  </si>
  <si>
    <t>Emp 717</t>
  </si>
  <si>
    <t>28901281767654</t>
  </si>
  <si>
    <t>Emp 718</t>
  </si>
  <si>
    <t>29901231351586</t>
  </si>
  <si>
    <t>Emp 719</t>
  </si>
  <si>
    <t>28705170264533</t>
  </si>
  <si>
    <t>Emp 720</t>
  </si>
  <si>
    <t>29008081972225</t>
  </si>
  <si>
    <t>Emp 721</t>
  </si>
  <si>
    <t>30207261960874</t>
  </si>
  <si>
    <t>Emp 722</t>
  </si>
  <si>
    <t>29708051365484</t>
  </si>
  <si>
    <t>Emp 723</t>
  </si>
  <si>
    <t>30004062182316</t>
  </si>
  <si>
    <t>Emp 724</t>
  </si>
  <si>
    <t>30102090274383</t>
  </si>
  <si>
    <t>Emp 725</t>
  </si>
  <si>
    <t>30003052177825</t>
  </si>
  <si>
    <t>Emp 726</t>
  </si>
  <si>
    <t>28202041986449</t>
  </si>
  <si>
    <t>Emp 727</t>
  </si>
  <si>
    <t>28803081375961</t>
  </si>
  <si>
    <t>Emp 728</t>
  </si>
  <si>
    <t>28208231984256</t>
  </si>
  <si>
    <t>Emp 729</t>
  </si>
  <si>
    <t>28906080288371</t>
  </si>
  <si>
    <t>Emp 730</t>
  </si>
  <si>
    <t>28301111984898</t>
  </si>
  <si>
    <t>Emp 731</t>
  </si>
  <si>
    <t>29506261791576</t>
  </si>
  <si>
    <t>Emp 732</t>
  </si>
  <si>
    <t>29306030188443</t>
  </si>
  <si>
    <t>Emp 733</t>
  </si>
  <si>
    <t>30205180267477</t>
  </si>
  <si>
    <t>Emp 734</t>
  </si>
  <si>
    <t>28404141763631</t>
  </si>
  <si>
    <t>Emp 735</t>
  </si>
  <si>
    <t>29001270290141</t>
  </si>
  <si>
    <t>Emp 736</t>
  </si>
  <si>
    <t>29506171964569</t>
  </si>
  <si>
    <t>Emp 737</t>
  </si>
  <si>
    <t>28703091766564</t>
  </si>
  <si>
    <t>Emp 738</t>
  </si>
  <si>
    <t>29704250179627</t>
  </si>
  <si>
    <t>Emp 739</t>
  </si>
  <si>
    <t>28206170153023</t>
  </si>
  <si>
    <t>Emp 740</t>
  </si>
  <si>
    <t>30311251380345</t>
  </si>
  <si>
    <t>Emp 741</t>
  </si>
  <si>
    <t>29001220152445</t>
  </si>
  <si>
    <t>Emp 742</t>
  </si>
  <si>
    <t>29007092156032</t>
  </si>
  <si>
    <t>Emp 743</t>
  </si>
  <si>
    <t>29605111767076</t>
  </si>
  <si>
    <t>Emp 744</t>
  </si>
  <si>
    <t>28302042159914</t>
  </si>
  <si>
    <t>Emp 745</t>
  </si>
  <si>
    <t>28608151773651</t>
  </si>
  <si>
    <t>Emp 746</t>
  </si>
  <si>
    <t>30104042187222</t>
  </si>
  <si>
    <t>Emp 747</t>
  </si>
  <si>
    <t>28605101782588</t>
  </si>
  <si>
    <t>Emp 748</t>
  </si>
  <si>
    <t>30004061763915</t>
  </si>
  <si>
    <t>Emp 749</t>
  </si>
  <si>
    <t>28412121974596</t>
  </si>
  <si>
    <t>Emp 750</t>
  </si>
  <si>
    <t>30310201779019</t>
  </si>
  <si>
    <t>Emp 751</t>
  </si>
  <si>
    <t>28303081986763</t>
  </si>
  <si>
    <t>Emp 752</t>
  </si>
  <si>
    <t>30104042172123</t>
  </si>
  <si>
    <t>Emp 753</t>
  </si>
  <si>
    <t>28410262165776</t>
  </si>
  <si>
    <t>Emp 754</t>
  </si>
  <si>
    <t>29406050159594</t>
  </si>
  <si>
    <t>Emp 755</t>
  </si>
  <si>
    <t>29402122156815</t>
  </si>
  <si>
    <t>Emp 756</t>
  </si>
  <si>
    <t>28705062174959</t>
  </si>
  <si>
    <t>Emp 757</t>
  </si>
  <si>
    <t>28211181774224</t>
  </si>
  <si>
    <t>Emp 758</t>
  </si>
  <si>
    <t>29908110257037</t>
  </si>
  <si>
    <t>Emp 759</t>
  </si>
  <si>
    <t>29412161769957</t>
  </si>
  <si>
    <t>Emp 760</t>
  </si>
  <si>
    <t>28908260174834</t>
  </si>
  <si>
    <t>Emp 761</t>
  </si>
  <si>
    <t>30109251780838</t>
  </si>
  <si>
    <t>Emp 762</t>
  </si>
  <si>
    <t>28812190267089</t>
  </si>
  <si>
    <t>Emp 763</t>
  </si>
  <si>
    <t>29305051380443</t>
  </si>
  <si>
    <t>Emp 764</t>
  </si>
  <si>
    <t>30112070163478</t>
  </si>
  <si>
    <t>Emp 765</t>
  </si>
  <si>
    <t>28608010157343</t>
  </si>
  <si>
    <t>Emp 766</t>
  </si>
  <si>
    <t>28508221980761</t>
  </si>
  <si>
    <t>Emp 767</t>
  </si>
  <si>
    <t>29912071354137</t>
  </si>
  <si>
    <t>Emp 768</t>
  </si>
  <si>
    <t>28204110176746</t>
  </si>
  <si>
    <t>Emp 769</t>
  </si>
  <si>
    <t>29910280255664</t>
  </si>
  <si>
    <t>Emp 770</t>
  </si>
  <si>
    <t>28305090173632</t>
  </si>
  <si>
    <t>Emp 771</t>
  </si>
  <si>
    <t>30208181389997</t>
  </si>
  <si>
    <t>Emp 772</t>
  </si>
  <si>
    <t>28412231971022</t>
  </si>
  <si>
    <t>Emp 773</t>
  </si>
  <si>
    <t>30201051782532</t>
  </si>
  <si>
    <t>Emp 774</t>
  </si>
  <si>
    <t>29402260152396</t>
  </si>
  <si>
    <t>Emp 775</t>
  </si>
  <si>
    <t>29910190265361</t>
  </si>
  <si>
    <t>Emp 776</t>
  </si>
  <si>
    <t>29006121755897</t>
  </si>
  <si>
    <t>Emp 777</t>
  </si>
  <si>
    <t>28902161981666</t>
  </si>
  <si>
    <t>Emp 778</t>
  </si>
  <si>
    <t>29207010257763</t>
  </si>
  <si>
    <t>Emp 779</t>
  </si>
  <si>
    <t>29903080288862</t>
  </si>
  <si>
    <t>Emp 780</t>
  </si>
  <si>
    <t>29105082160124</t>
  </si>
  <si>
    <t>Emp 781</t>
  </si>
  <si>
    <t>28606031764849</t>
  </si>
  <si>
    <t>Emp 782</t>
  </si>
  <si>
    <t>30301120153949</t>
  </si>
  <si>
    <t>Emp 783</t>
  </si>
  <si>
    <t>28512100265316</t>
  </si>
  <si>
    <t>Emp 784</t>
  </si>
  <si>
    <t>28609180161888</t>
  </si>
  <si>
    <t>Emp 785</t>
  </si>
  <si>
    <t>28210040252322</t>
  </si>
  <si>
    <t>Emp 786</t>
  </si>
  <si>
    <t>29003121363228</t>
  </si>
  <si>
    <t>Emp 787</t>
  </si>
  <si>
    <t>28906191977465</t>
  </si>
  <si>
    <t>Emp 788</t>
  </si>
  <si>
    <t>30308112153649</t>
  </si>
  <si>
    <t>Emp 789</t>
  </si>
  <si>
    <t>28902190257512</t>
  </si>
  <si>
    <t>Emp 790</t>
  </si>
  <si>
    <t>29007180255196</t>
  </si>
  <si>
    <t>Emp 791</t>
  </si>
  <si>
    <t>29311220156459</t>
  </si>
  <si>
    <t>Emp 792</t>
  </si>
  <si>
    <t>29904190153786</t>
  </si>
  <si>
    <t>Emp 793</t>
  </si>
  <si>
    <t>29409051386549</t>
  </si>
  <si>
    <t>Emp 794</t>
  </si>
  <si>
    <t>28308260156939</t>
  </si>
  <si>
    <t>Emp 795</t>
  </si>
  <si>
    <t>29504252184069</t>
  </si>
  <si>
    <t>Emp 796</t>
  </si>
  <si>
    <t>30004222166853</t>
  </si>
  <si>
    <t>Emp 797</t>
  </si>
  <si>
    <t>28203020156651</t>
  </si>
  <si>
    <t>Emp 798</t>
  </si>
  <si>
    <t>29102192191197</t>
  </si>
  <si>
    <t>Emp 799</t>
  </si>
  <si>
    <t>28709050270884</t>
  </si>
  <si>
    <t>Emp 800</t>
  </si>
  <si>
    <t>28210262181826</t>
  </si>
  <si>
    <t>Emp 801</t>
  </si>
  <si>
    <t>29802071981934</t>
  </si>
  <si>
    <t>Emp 802</t>
  </si>
  <si>
    <t>29702141358354</t>
  </si>
  <si>
    <t>Emp 803</t>
  </si>
  <si>
    <t>30012220284537</t>
  </si>
  <si>
    <t>Emp 804</t>
  </si>
  <si>
    <t>28303122183744</t>
  </si>
  <si>
    <t>Emp 805</t>
  </si>
  <si>
    <t>28907201782073</t>
  </si>
  <si>
    <t>Emp 806</t>
  </si>
  <si>
    <t>29910022181316</t>
  </si>
  <si>
    <t>Emp 807</t>
  </si>
  <si>
    <t>29204160280561</t>
  </si>
  <si>
    <t>Emp 808</t>
  </si>
  <si>
    <t>29911061986796</t>
  </si>
  <si>
    <t>Emp 809</t>
  </si>
  <si>
    <t>28212221954762</t>
  </si>
  <si>
    <t>Emp 810</t>
  </si>
  <si>
    <t>29411251786698</t>
  </si>
  <si>
    <t>Emp 811</t>
  </si>
  <si>
    <t>30312162158762</t>
  </si>
  <si>
    <t>Emp 812</t>
  </si>
  <si>
    <t>28810101764293</t>
  </si>
  <si>
    <t>Emp 813</t>
  </si>
  <si>
    <t>29210051773297</t>
  </si>
  <si>
    <t>Emp 814</t>
  </si>
  <si>
    <t>29912081381997</t>
  </si>
  <si>
    <t>Emp 815</t>
  </si>
  <si>
    <t>29602241772522</t>
  </si>
  <si>
    <t>Emp 816</t>
  </si>
  <si>
    <t>29912170255693</t>
  </si>
  <si>
    <t>Emp 817</t>
  </si>
  <si>
    <t>29102161356169</t>
  </si>
  <si>
    <t>Emp 818</t>
  </si>
  <si>
    <t>30201011788772</t>
  </si>
  <si>
    <t>Emp 819</t>
  </si>
  <si>
    <t>29808152174424</t>
  </si>
  <si>
    <t>Emp 820</t>
  </si>
  <si>
    <t>29012060274724</t>
  </si>
  <si>
    <t>Emp 821</t>
  </si>
  <si>
    <t>30305232190282</t>
  </si>
  <si>
    <t>Emp 822</t>
  </si>
  <si>
    <t>30311031764838</t>
  </si>
  <si>
    <t>Emp 823</t>
  </si>
  <si>
    <t>29110151955112</t>
  </si>
  <si>
    <t>Emp 824</t>
  </si>
  <si>
    <t>29702210159837</t>
  </si>
  <si>
    <t>Emp 825</t>
  </si>
  <si>
    <t>28901211781121</t>
  </si>
  <si>
    <t>Emp 826</t>
  </si>
  <si>
    <t>29810111983428</t>
  </si>
  <si>
    <t>Emp 827</t>
  </si>
  <si>
    <t>29503171766264</t>
  </si>
  <si>
    <t>Emp 828</t>
  </si>
  <si>
    <t>29204150285526</t>
  </si>
  <si>
    <t>Emp 829</t>
  </si>
  <si>
    <t>30109101371544</t>
  </si>
  <si>
    <t>Emp 830</t>
  </si>
  <si>
    <t>29204251961654</t>
  </si>
  <si>
    <t>Emp 831</t>
  </si>
  <si>
    <t>29107231977832</t>
  </si>
  <si>
    <t>Emp 832</t>
  </si>
  <si>
    <t>29510031981988</t>
  </si>
  <si>
    <t>Emp 833</t>
  </si>
  <si>
    <t>29804281761753</t>
  </si>
  <si>
    <t>Emp 834</t>
  </si>
  <si>
    <t>28810131756121</t>
  </si>
  <si>
    <t>Emp 835</t>
  </si>
  <si>
    <t>29605031951926</t>
  </si>
  <si>
    <t>Emp 836</t>
  </si>
  <si>
    <t>29112071374479</t>
  </si>
  <si>
    <t>Emp 837</t>
  </si>
  <si>
    <t>29202081953412</t>
  </si>
  <si>
    <t>Emp 838</t>
  </si>
  <si>
    <t>30102170184953</t>
  </si>
  <si>
    <t>Emp 839</t>
  </si>
  <si>
    <t>28207231376468</t>
  </si>
  <si>
    <t>Emp 840</t>
  </si>
  <si>
    <t>30204240162839</t>
  </si>
  <si>
    <t>Emp 841</t>
  </si>
  <si>
    <t>29310061771483</t>
  </si>
  <si>
    <t>Emp 842</t>
  </si>
  <si>
    <t>30303141755267</t>
  </si>
  <si>
    <t>Emp 843</t>
  </si>
  <si>
    <t>29004031384423</t>
  </si>
  <si>
    <t>Emp 844</t>
  </si>
  <si>
    <t>28407061376239</t>
  </si>
  <si>
    <t>Emp 845</t>
  </si>
  <si>
    <t>29405101380779</t>
  </si>
  <si>
    <t>Emp 846</t>
  </si>
  <si>
    <t>28512171359395</t>
  </si>
  <si>
    <t>Emp 847</t>
  </si>
  <si>
    <t>28406171976021</t>
  </si>
  <si>
    <t>Emp 848</t>
  </si>
  <si>
    <t>30304041964038</t>
  </si>
  <si>
    <t>Emp 849</t>
  </si>
  <si>
    <t>28906061959026</t>
  </si>
  <si>
    <t>Emp 850</t>
  </si>
  <si>
    <t>28906040277415</t>
  </si>
  <si>
    <t>Emp 851</t>
  </si>
  <si>
    <t>29805191381537</t>
  </si>
  <si>
    <t>Emp 852</t>
  </si>
  <si>
    <t>28412120180625</t>
  </si>
  <si>
    <t>Emp 853</t>
  </si>
  <si>
    <t>29411040261635</t>
  </si>
  <si>
    <t>Emp 854</t>
  </si>
  <si>
    <t>28408062158241</t>
  </si>
  <si>
    <t>Emp 855</t>
  </si>
  <si>
    <t>29207281751553</t>
  </si>
  <si>
    <t>Emp 856</t>
  </si>
  <si>
    <t>29901062153395</t>
  </si>
  <si>
    <t>Emp 857</t>
  </si>
  <si>
    <t>29710052190079</t>
  </si>
  <si>
    <t>Emp 858</t>
  </si>
  <si>
    <t>29810071753266</t>
  </si>
  <si>
    <t>Emp 859</t>
  </si>
  <si>
    <t>30307270186123</t>
  </si>
  <si>
    <t>Emp 860</t>
  </si>
  <si>
    <t>29102210154038</t>
  </si>
  <si>
    <t>Emp 861</t>
  </si>
  <si>
    <t>30202101760722</t>
  </si>
  <si>
    <t>Emp 862</t>
  </si>
  <si>
    <t>28204090176696</t>
  </si>
  <si>
    <t>Emp 863</t>
  </si>
  <si>
    <t>29809131789524</t>
  </si>
  <si>
    <t>Emp 864</t>
  </si>
  <si>
    <t>29404270167334</t>
  </si>
  <si>
    <t>Emp 865</t>
  </si>
  <si>
    <t>30302061775379</t>
  </si>
  <si>
    <t>Emp 866</t>
  </si>
  <si>
    <t>30301210170439</t>
  </si>
  <si>
    <t>Emp 867</t>
  </si>
  <si>
    <t>28807111367587</t>
  </si>
  <si>
    <t>Emp 868</t>
  </si>
  <si>
    <t>29903162190048</t>
  </si>
  <si>
    <t>Emp 869</t>
  </si>
  <si>
    <t>29509140266197</t>
  </si>
  <si>
    <t>Emp 870</t>
  </si>
  <si>
    <t>29208130188724</t>
  </si>
  <si>
    <t>Emp 871</t>
  </si>
  <si>
    <t>29106271959871</t>
  </si>
  <si>
    <t>Emp 872</t>
  </si>
  <si>
    <t>29302282190334</t>
  </si>
  <si>
    <t>Emp 873</t>
  </si>
  <si>
    <t>28203220157666</t>
  </si>
  <si>
    <t>Emp 874</t>
  </si>
  <si>
    <t>29203130173462</t>
  </si>
  <si>
    <t>Emp 875</t>
  </si>
  <si>
    <t>28301120189719</t>
  </si>
  <si>
    <t>Emp 876</t>
  </si>
  <si>
    <t>28706280260423</t>
  </si>
  <si>
    <t>Emp 877</t>
  </si>
  <si>
    <t>29610041390886</t>
  </si>
  <si>
    <t>Emp 878</t>
  </si>
  <si>
    <t>30101222162882</t>
  </si>
  <si>
    <t>Emp 879</t>
  </si>
  <si>
    <t>29608090171793</t>
  </si>
  <si>
    <t>Emp 880</t>
  </si>
  <si>
    <t>29805081777137</t>
  </si>
  <si>
    <t>Emp 881</t>
  </si>
  <si>
    <t>29901261777269</t>
  </si>
  <si>
    <t>Emp 882</t>
  </si>
  <si>
    <t>29701041353795</t>
  </si>
  <si>
    <t>Emp 883</t>
  </si>
  <si>
    <t>29307141754171</t>
  </si>
  <si>
    <t>Emp 884</t>
  </si>
  <si>
    <t>28907071365211</t>
  </si>
  <si>
    <t>Emp 885</t>
  </si>
  <si>
    <t>28409091762176</t>
  </si>
  <si>
    <t>Emp 886</t>
  </si>
  <si>
    <t>29307071956066</t>
  </si>
  <si>
    <t>Emp 887</t>
  </si>
  <si>
    <t>28306012182732</t>
  </si>
  <si>
    <t>Emp 888</t>
  </si>
  <si>
    <t>29901080173132</t>
  </si>
  <si>
    <t>Emp 889</t>
  </si>
  <si>
    <t>29706091764994</t>
  </si>
  <si>
    <t>Emp 890</t>
  </si>
  <si>
    <t>28708020151884</t>
  </si>
  <si>
    <t>Emp 891</t>
  </si>
  <si>
    <t>28703221375712</t>
  </si>
  <si>
    <t>Emp 892</t>
  </si>
  <si>
    <t>29910021766089</t>
  </si>
  <si>
    <t>Emp 893</t>
  </si>
  <si>
    <t>29311241383733</t>
  </si>
  <si>
    <t>Emp 894</t>
  </si>
  <si>
    <t>30104061385332</t>
  </si>
  <si>
    <t>Emp 895</t>
  </si>
  <si>
    <t>29607151982855</t>
  </si>
  <si>
    <t>Emp 896</t>
  </si>
  <si>
    <t>28403191368264</t>
  </si>
  <si>
    <t>Emp 897</t>
  </si>
  <si>
    <t>28312160177078</t>
  </si>
  <si>
    <t>Emp 898</t>
  </si>
  <si>
    <t>29908170290639</t>
  </si>
  <si>
    <t>Emp 899</t>
  </si>
  <si>
    <t>29702251968493</t>
  </si>
  <si>
    <t>Emp 900</t>
  </si>
  <si>
    <t>29211231763213</t>
  </si>
  <si>
    <t>Emp 901</t>
  </si>
  <si>
    <t>30101022183378</t>
  </si>
  <si>
    <t>Emp 902</t>
  </si>
  <si>
    <t>29810031990263</t>
  </si>
  <si>
    <t>Emp 903</t>
  </si>
  <si>
    <t>29906282155323</t>
  </si>
  <si>
    <t>Emp 904</t>
  </si>
  <si>
    <t>28908021765762</t>
  </si>
  <si>
    <t>Emp 905</t>
  </si>
  <si>
    <t>28207192169615</t>
  </si>
  <si>
    <t>Emp 906</t>
  </si>
  <si>
    <t>29502191355215</t>
  </si>
  <si>
    <t>Emp 907</t>
  </si>
  <si>
    <t>29708160175995</t>
  </si>
  <si>
    <t>Emp 908</t>
  </si>
  <si>
    <t>29211101980384</t>
  </si>
  <si>
    <t>Emp 909</t>
  </si>
  <si>
    <t>28809171762296</t>
  </si>
  <si>
    <t>Emp 910</t>
  </si>
  <si>
    <t>28803111789782</t>
  </si>
  <si>
    <t>Emp 911</t>
  </si>
  <si>
    <t>28304081369872</t>
  </si>
  <si>
    <t>Emp 912</t>
  </si>
  <si>
    <t>28605210278671</t>
  </si>
  <si>
    <t>Emp 913</t>
  </si>
  <si>
    <t>28805262178128</t>
  </si>
  <si>
    <t>Emp 914</t>
  </si>
  <si>
    <t>29011251955479</t>
  </si>
  <si>
    <t>Emp 915</t>
  </si>
  <si>
    <t>29503141782941</t>
  </si>
  <si>
    <t>Emp 916</t>
  </si>
  <si>
    <t>28410240162418</t>
  </si>
  <si>
    <t>Emp 917</t>
  </si>
  <si>
    <t>29305161989552</t>
  </si>
  <si>
    <t>Emp 918</t>
  </si>
  <si>
    <t>30111030268321</t>
  </si>
  <si>
    <t>Emp 919</t>
  </si>
  <si>
    <t>30010012182693</t>
  </si>
  <si>
    <t>Emp 920</t>
  </si>
  <si>
    <t>29310041955214</t>
  </si>
  <si>
    <t>Emp 921</t>
  </si>
  <si>
    <t>30301121981668</t>
  </si>
  <si>
    <t>Emp 922</t>
  </si>
  <si>
    <t>29508060276088</t>
  </si>
  <si>
    <t>Emp 923</t>
  </si>
  <si>
    <t>28312221787741</t>
  </si>
  <si>
    <t>Emp 924</t>
  </si>
  <si>
    <t>28403151779218</t>
  </si>
  <si>
    <t>Emp 925</t>
  </si>
  <si>
    <t>29908281772789</t>
  </si>
  <si>
    <t>Emp 926</t>
  </si>
  <si>
    <t>30209010260245</t>
  </si>
  <si>
    <t>Emp 927</t>
  </si>
  <si>
    <t>29209191355811</t>
  </si>
  <si>
    <t>Emp 928</t>
  </si>
  <si>
    <t>28904160184291</t>
  </si>
  <si>
    <t>Emp 929</t>
  </si>
  <si>
    <t>29106231768335</t>
  </si>
  <si>
    <t>Emp 930</t>
  </si>
  <si>
    <t>28209281756837</t>
  </si>
  <si>
    <t>Emp 931</t>
  </si>
  <si>
    <t>29512150283392</t>
  </si>
  <si>
    <t>Emp 932</t>
  </si>
  <si>
    <t>29706261769539</t>
  </si>
  <si>
    <t>Emp 933</t>
  </si>
  <si>
    <t>30112211384763</t>
  </si>
  <si>
    <t>Emp 934</t>
  </si>
  <si>
    <t>28705222181886</t>
  </si>
  <si>
    <t>Emp 935</t>
  </si>
  <si>
    <t>30202251978126</t>
  </si>
  <si>
    <t>Emp 936</t>
  </si>
  <si>
    <t>29812271359685</t>
  </si>
  <si>
    <t>Emp 937</t>
  </si>
  <si>
    <t>28205220288038</t>
  </si>
  <si>
    <t>Emp 938</t>
  </si>
  <si>
    <t>30005121960693</t>
  </si>
  <si>
    <t>Emp 939</t>
  </si>
  <si>
    <t>28801020287353</t>
  </si>
  <si>
    <t>Emp 940</t>
  </si>
  <si>
    <t>28709140158891</t>
  </si>
  <si>
    <t>Emp 941</t>
  </si>
  <si>
    <t>28405102184654</t>
  </si>
  <si>
    <t>Emp 942</t>
  </si>
  <si>
    <t>30204251787492</t>
  </si>
  <si>
    <t>Emp 943</t>
  </si>
  <si>
    <t>29808040160074</t>
  </si>
  <si>
    <t>Emp 944</t>
  </si>
  <si>
    <t>30006011354027</t>
  </si>
  <si>
    <t>Emp 945</t>
  </si>
  <si>
    <t>29709201773279</t>
  </si>
  <si>
    <t>Emp 946</t>
  </si>
  <si>
    <t>29110022159387</t>
  </si>
  <si>
    <t>Emp 947</t>
  </si>
  <si>
    <t>28609091964645</t>
  </si>
  <si>
    <t>Emp 948</t>
  </si>
  <si>
    <t>29903202186456</t>
  </si>
  <si>
    <t>Emp 949</t>
  </si>
  <si>
    <t>30002252155184</t>
  </si>
  <si>
    <t>Emp 950</t>
  </si>
  <si>
    <t>29508220254964</t>
  </si>
  <si>
    <t>Emp 951</t>
  </si>
  <si>
    <t>29407180260432</t>
  </si>
  <si>
    <t>Emp 952</t>
  </si>
  <si>
    <t>29701261756527</t>
  </si>
  <si>
    <t>Emp 953</t>
  </si>
  <si>
    <t>29702051772498</t>
  </si>
  <si>
    <t>Emp 954</t>
  </si>
  <si>
    <t>30111271762457</t>
  </si>
  <si>
    <t>Emp 955</t>
  </si>
  <si>
    <t>29309161390494</t>
  </si>
  <si>
    <t>Emp 956</t>
  </si>
  <si>
    <t>28708070285221</t>
  </si>
  <si>
    <t>Emp 957</t>
  </si>
  <si>
    <t>29511080172627</t>
  </si>
  <si>
    <t>Emp 958</t>
  </si>
  <si>
    <t>30310030285073</t>
  </si>
  <si>
    <t>Emp 959</t>
  </si>
  <si>
    <t>29707120289253</t>
  </si>
  <si>
    <t>Emp 960</t>
  </si>
  <si>
    <t>28311051958699</t>
  </si>
  <si>
    <t>Emp 961</t>
  </si>
  <si>
    <t>28208201972119</t>
  </si>
  <si>
    <t>Emp 962</t>
  </si>
  <si>
    <t>30308131953521</t>
  </si>
  <si>
    <t>Emp 963</t>
  </si>
  <si>
    <t>29410120185162</t>
  </si>
  <si>
    <t>Emp 964</t>
  </si>
  <si>
    <t>30207160176555</t>
  </si>
  <si>
    <t>Emp 965</t>
  </si>
  <si>
    <t>28612111363811</t>
  </si>
  <si>
    <t>Emp 966</t>
  </si>
  <si>
    <t>30308131765117</t>
  </si>
  <si>
    <t>Emp 967</t>
  </si>
  <si>
    <t>29908221380791</t>
  </si>
  <si>
    <t>Emp 968</t>
  </si>
  <si>
    <t>30003021768575</t>
  </si>
  <si>
    <t>Emp 969</t>
  </si>
  <si>
    <t>29709020254429</t>
  </si>
  <si>
    <t>Emp 970</t>
  </si>
  <si>
    <t>29808281382625</t>
  </si>
  <si>
    <t>Emp 971</t>
  </si>
  <si>
    <t>29104210186267</t>
  </si>
  <si>
    <t>Emp 972</t>
  </si>
  <si>
    <t>29203261389353</t>
  </si>
  <si>
    <t>Emp 973</t>
  </si>
  <si>
    <t>28206182153779</t>
  </si>
  <si>
    <t>Emp 974</t>
  </si>
  <si>
    <t>30211251767245</t>
  </si>
  <si>
    <t>Emp 975</t>
  </si>
  <si>
    <t>29701070268352</t>
  </si>
  <si>
    <t>Emp 976</t>
  </si>
  <si>
    <t>30106251972147</t>
  </si>
  <si>
    <t>Emp 977</t>
  </si>
  <si>
    <t>30305240153738</t>
  </si>
  <si>
    <t>Emp 978</t>
  </si>
  <si>
    <t>29004170289455</t>
  </si>
  <si>
    <t>Emp 979</t>
  </si>
  <si>
    <t>28407190188044</t>
  </si>
  <si>
    <t>Emp 980</t>
  </si>
  <si>
    <t>28503081391195</t>
  </si>
  <si>
    <t>Emp 981</t>
  </si>
  <si>
    <t>29909021352754</t>
  </si>
  <si>
    <t>Emp 982</t>
  </si>
  <si>
    <t>29204120288196</t>
  </si>
  <si>
    <t>Emp 983</t>
  </si>
  <si>
    <t>29701020154821</t>
  </si>
  <si>
    <t>Emp 984</t>
  </si>
  <si>
    <t>28207050162753</t>
  </si>
  <si>
    <t>Emp 985</t>
  </si>
  <si>
    <t>29404030281571</t>
  </si>
  <si>
    <t>Emp 986</t>
  </si>
  <si>
    <t>30005251388957</t>
  </si>
  <si>
    <t>Emp 987</t>
  </si>
  <si>
    <t>30112281755921</t>
  </si>
  <si>
    <t>Emp 988</t>
  </si>
  <si>
    <t>29205192190249</t>
  </si>
  <si>
    <t>Emp 989</t>
  </si>
  <si>
    <t>29001270253597</t>
  </si>
  <si>
    <t>Emp 990</t>
  </si>
  <si>
    <t>28305141375625</t>
  </si>
  <si>
    <t>Emp 991</t>
  </si>
  <si>
    <t>30307161787432</t>
  </si>
  <si>
    <t>Emp 992</t>
  </si>
  <si>
    <t>28412201986978</t>
  </si>
  <si>
    <t>Emp 993</t>
  </si>
  <si>
    <t>29208171978315</t>
  </si>
  <si>
    <t>Emp 994</t>
  </si>
  <si>
    <t>28307182183136</t>
  </si>
  <si>
    <t>Emp 995</t>
  </si>
  <si>
    <t>30203180290477</t>
  </si>
  <si>
    <t>Emp 996</t>
  </si>
  <si>
    <t>28902281373948</t>
  </si>
  <si>
    <t>Emp 997</t>
  </si>
  <si>
    <t>29602111953337</t>
  </si>
  <si>
    <t>Emp 998</t>
  </si>
  <si>
    <t>28507031388063</t>
  </si>
  <si>
    <t>Emp 999</t>
  </si>
  <si>
    <t>29101191352368</t>
  </si>
  <si>
    <t>Emp 1000</t>
  </si>
  <si>
    <t>29602231790654</t>
  </si>
  <si>
    <t>name of month</t>
  </si>
  <si>
    <t>Count of Gender</t>
  </si>
  <si>
    <t>Row Labels</t>
  </si>
  <si>
    <t>Grand Total</t>
  </si>
  <si>
    <t>Count of PayType</t>
  </si>
  <si>
    <t>Count of Department</t>
  </si>
  <si>
    <t>Count of Position</t>
  </si>
  <si>
    <t>Count of Branch</t>
  </si>
  <si>
    <t>Sum of Salary</t>
  </si>
  <si>
    <t>RATING</t>
  </si>
  <si>
    <t>نسبة تفاوت</t>
  </si>
  <si>
    <t>راتب طبيعي</t>
  </si>
  <si>
    <t>راتب عالي</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</si>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</sst>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78"/>
      <scheme val="minor"/>
    </font>
    <font>
      <sz val="11"/>
      <color theme="1"/>
      <name val="Calibri"/>
      <family val="2"/>
      <scheme val="minor"/>
    </font>
    <font>
      <sz val="11"/>
      <color theme="1"/>
      <name val="Calibri"/>
      <family val="2"/>
      <charset val="178"/>
      <scheme val="minor"/>
    </font>
    <font>
      <b/>
      <sz val="11"/>
      <color theme="0"/>
      <name val="Calibri"/>
      <family val="2"/>
      <charset val="178"/>
      <scheme val="minor"/>
    </font>
    <font>
      <b/>
      <sz val="11"/>
      <color theme="0"/>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79998168889431442"/>
        <bgColor indexed="64"/>
      </patternFill>
    </fill>
  </fills>
  <borders count="3">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3">
    <xf numFmtId="0" fontId="0" fillId="0" borderId="0"/>
    <xf numFmtId="0" fontId="1" fillId="0" borderId="0"/>
    <xf numFmtId="9" fontId="2" fillId="0" borderId="0" applyFont="0" applyFill="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right"/>
    </xf>
    <xf numFmtId="10" fontId="0" fillId="0" borderId="0" xfId="0" applyNumberFormat="1"/>
    <xf numFmtId="0" fontId="0" fillId="0" borderId="2" xfId="0" applyBorder="1"/>
    <xf numFmtId="0" fontId="0" fillId="3" borderId="2" xfId="0" applyFill="1" applyBorder="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14" fontId="0" fillId="0" borderId="2" xfId="0" applyNumberFormat="1" applyBorder="1"/>
    <xf numFmtId="0" fontId="3" fillId="4" borderId="0" xfId="0" applyFont="1" applyFill="1"/>
    <xf numFmtId="14" fontId="3" fillId="4" borderId="0" xfId="0" applyNumberFormat="1" applyFont="1" applyFill="1"/>
    <xf numFmtId="9" fontId="0" fillId="0" borderId="0" xfId="2" applyFont="1"/>
    <xf numFmtId="1" fontId="0" fillId="0" borderId="0" xfId="0" applyNumberFormat="1"/>
    <xf numFmtId="0" fontId="0" fillId="0" borderId="0" xfId="0" applyAlignment="1">
      <alignment horizontal="left"/>
    </xf>
    <xf numFmtId="0" fontId="0" fillId="2" borderId="0" xfId="0" applyFill="1"/>
    <xf numFmtId="0" fontId="0" fillId="5" borderId="0" xfId="0" applyFill="1"/>
    <xf numFmtId="0" fontId="0" fillId="0" borderId="0" xfId="0" applyNumberFormat="1"/>
    <xf numFmtId="0" fontId="4" fillId="2" borderId="0" xfId="0" applyFont="1" applyFill="1"/>
    <xf numFmtId="10" fontId="4" fillId="2" borderId="0" xfId="0" applyNumberFormat="1" applyFont="1" applyFill="1"/>
    <xf numFmtId="0" fontId="4" fillId="2" borderId="0" xfId="0" applyNumberFormat="1" applyFont="1" applyFill="1"/>
  </cellXfs>
  <cellStyles count="3">
    <cellStyle name="Normal" xfId="0" builtinId="0"/>
    <cellStyle name="Normal 2" xfId="1" xr:uid="{D7E7E5D0-6DF7-422B-84AC-CB38BA4476F3}"/>
    <cellStyle name="Percent" xfId="2" builtinId="5"/>
  </cellStyles>
  <dxfs count="19">
    <dxf>
      <font>
        <b val="0"/>
        <i val="0"/>
        <strike val="0"/>
        <condense val="0"/>
        <extend val="0"/>
        <outline val="0"/>
        <shadow val="0"/>
        <u val="none"/>
        <vertAlign val="baseline"/>
        <sz val="11"/>
        <color theme="1"/>
        <name val="Arial"/>
        <family val="2"/>
        <charset val="178"/>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8"/>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Arial"/>
        <family val="2"/>
        <charset val="178"/>
        <scheme val="minor"/>
      </font>
    </dxf>
    <dxf>
      <font>
        <b/>
        <i val="0"/>
        <strike val="0"/>
        <condense val="0"/>
        <extend val="0"/>
        <outline val="0"/>
        <shadow val="0"/>
        <u val="none"/>
        <vertAlign val="baseline"/>
        <sz val="11"/>
        <color theme="0"/>
        <name val="Arial"/>
        <family val="2"/>
        <charset val="178"/>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TABLES'!$B$15</c:f>
              <c:strCache>
                <c:ptCount val="1"/>
                <c:pt idx="0">
                  <c:v>Total</c:v>
                </c:pt>
              </c:strCache>
            </c:strRef>
          </c:tx>
          <c:spPr>
            <a:ln w="28575" cap="rnd">
              <a:solidFill>
                <a:schemeClr val="accent1"/>
              </a:solidFill>
              <a:round/>
            </a:ln>
            <a:effectLst/>
          </c:spPr>
          <c:marker>
            <c:symbol val="none"/>
          </c:marker>
          <c:cat>
            <c:strRef>
              <c:f>'PIVOT TABLES'!$A$16:$A$26</c:f>
              <c:strCache>
                <c:ptCount val="10"/>
                <c:pt idx="0">
                  <c:v>Finance</c:v>
                </c:pt>
                <c:pt idx="1">
                  <c:v>Maintenance</c:v>
                </c:pt>
                <c:pt idx="2">
                  <c:v>Operations</c:v>
                </c:pt>
                <c:pt idx="3">
                  <c:v>Training</c:v>
                </c:pt>
                <c:pt idx="4">
                  <c:v>Marketing</c:v>
                </c:pt>
                <c:pt idx="5">
                  <c:v>Human Resources</c:v>
                </c:pt>
                <c:pt idx="6">
                  <c:v>Quality Assurance</c:v>
                </c:pt>
                <c:pt idx="7">
                  <c:v>Administration</c:v>
                </c:pt>
                <c:pt idx="8">
                  <c:v>Manufacturing</c:v>
                </c:pt>
                <c:pt idx="9">
                  <c:v>Logistics</c:v>
                </c:pt>
              </c:strCache>
            </c:strRef>
          </c:cat>
          <c:val>
            <c:numRef>
              <c:f>'PIVOT TABLES'!$B$16:$B$26</c:f>
              <c:numCache>
                <c:formatCode>General</c:formatCode>
                <c:ptCount val="10"/>
                <c:pt idx="0">
                  <c:v>166</c:v>
                </c:pt>
                <c:pt idx="1">
                  <c:v>132</c:v>
                </c:pt>
                <c:pt idx="2">
                  <c:v>111</c:v>
                </c:pt>
                <c:pt idx="3">
                  <c:v>108</c:v>
                </c:pt>
                <c:pt idx="4">
                  <c:v>95</c:v>
                </c:pt>
                <c:pt idx="5">
                  <c:v>92</c:v>
                </c:pt>
                <c:pt idx="6">
                  <c:v>91</c:v>
                </c:pt>
                <c:pt idx="7">
                  <c:v>90</c:v>
                </c:pt>
                <c:pt idx="8">
                  <c:v>80</c:v>
                </c:pt>
                <c:pt idx="9">
                  <c:v>35</c:v>
                </c:pt>
              </c:numCache>
            </c:numRef>
          </c:val>
          <c:smooth val="0"/>
          <c:extLst>
            <c:ext xmlns:c16="http://schemas.microsoft.com/office/drawing/2014/chart" uri="{C3380CC4-5D6E-409C-BE32-E72D297353CC}">
              <c16:uniqueId val="{00000000-B31E-4CE7-8773-FDF1E46F27FC}"/>
            </c:ext>
          </c:extLst>
        </c:ser>
        <c:dLbls>
          <c:showLegendKey val="0"/>
          <c:showVal val="0"/>
          <c:showCatName val="0"/>
          <c:showSerName val="0"/>
          <c:showPercent val="0"/>
          <c:showBubbleSize val="0"/>
        </c:dLbls>
        <c:smooth val="0"/>
        <c:axId val="654751224"/>
        <c:axId val="654751552"/>
      </c:lineChart>
      <c:catAx>
        <c:axId val="6547512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4751552"/>
        <c:crosses val="autoZero"/>
        <c:auto val="1"/>
        <c:lblAlgn val="ctr"/>
        <c:lblOffset val="100"/>
        <c:noMultiLvlLbl val="0"/>
      </c:catAx>
      <c:valAx>
        <c:axId val="65475155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475122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c:f>
              <c:strCache>
                <c:ptCount val="1"/>
                <c:pt idx="0">
                  <c:v>Total</c:v>
                </c:pt>
              </c:strCache>
            </c:strRef>
          </c:tx>
          <c:spPr>
            <a:ln w="28575" cap="rnd">
              <a:solidFill>
                <a:schemeClr val="accent1"/>
              </a:solidFill>
              <a:round/>
            </a:ln>
            <a:effectLst/>
          </c:spPr>
          <c:marker>
            <c:symbol val="none"/>
          </c:marker>
          <c:cat>
            <c:strRef>
              <c:f>'PIVOT TABLES'!$A$30:$A$33</c:f>
              <c:strCache>
                <c:ptCount val="3"/>
                <c:pt idx="0">
                  <c:v>Employee</c:v>
                </c:pt>
                <c:pt idx="1">
                  <c:v>Manager</c:v>
                </c:pt>
                <c:pt idx="2">
                  <c:v>Supervisor</c:v>
                </c:pt>
              </c:strCache>
            </c:strRef>
          </c:cat>
          <c:val>
            <c:numRef>
              <c:f>'PIVOT TABLES'!$B$30:$B$33</c:f>
              <c:numCache>
                <c:formatCode>General</c:formatCode>
                <c:ptCount val="3"/>
                <c:pt idx="0">
                  <c:v>671</c:v>
                </c:pt>
                <c:pt idx="1">
                  <c:v>170</c:v>
                </c:pt>
                <c:pt idx="2">
                  <c:v>159</c:v>
                </c:pt>
              </c:numCache>
            </c:numRef>
          </c:val>
          <c:smooth val="0"/>
          <c:extLst>
            <c:ext xmlns:c16="http://schemas.microsoft.com/office/drawing/2014/chart" uri="{C3380CC4-5D6E-409C-BE32-E72D297353CC}">
              <c16:uniqueId val="{00000000-B7A2-4186-B9CD-9C19C6E09A86}"/>
            </c:ext>
          </c:extLst>
        </c:ser>
        <c:dLbls>
          <c:showLegendKey val="0"/>
          <c:showVal val="0"/>
          <c:showCatName val="0"/>
          <c:showSerName val="0"/>
          <c:showPercent val="0"/>
          <c:showBubbleSize val="0"/>
        </c:dLbls>
        <c:smooth val="0"/>
        <c:axId val="654699728"/>
        <c:axId val="654704976"/>
      </c:lineChart>
      <c:catAx>
        <c:axId val="65469972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4704976"/>
        <c:crosses val="autoZero"/>
        <c:auto val="1"/>
        <c:lblAlgn val="ctr"/>
        <c:lblOffset val="100"/>
        <c:noMultiLvlLbl val="0"/>
      </c:catAx>
      <c:valAx>
        <c:axId val="65470497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469972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c:f>
              <c:strCache>
                <c:ptCount val="1"/>
                <c:pt idx="0">
                  <c:v>Total</c:v>
                </c:pt>
              </c:strCache>
            </c:strRef>
          </c:tx>
          <c:spPr>
            <a:ln w="28575" cap="rnd">
              <a:solidFill>
                <a:schemeClr val="accent1"/>
              </a:solidFill>
              <a:round/>
            </a:ln>
            <a:effectLst/>
          </c:spPr>
          <c:marker>
            <c:symbol val="none"/>
          </c:marker>
          <c:cat>
            <c:strRef>
              <c:f>'PIVOT TABLES'!$A$37:$A$42</c:f>
              <c:strCache>
                <c:ptCount val="5"/>
                <c:pt idx="0">
                  <c:v>Sharqia</c:v>
                </c:pt>
                <c:pt idx="1">
                  <c:v>Giza</c:v>
                </c:pt>
                <c:pt idx="2">
                  <c:v>Cairo</c:v>
                </c:pt>
                <c:pt idx="3">
                  <c:v>Ismailia</c:v>
                </c:pt>
                <c:pt idx="4">
                  <c:v>Alexandria</c:v>
                </c:pt>
              </c:strCache>
            </c:strRef>
          </c:cat>
          <c:val>
            <c:numRef>
              <c:f>'PIVOT TABLES'!$B$37:$B$42</c:f>
              <c:numCache>
                <c:formatCode>General</c:formatCode>
                <c:ptCount val="5"/>
                <c:pt idx="0">
                  <c:v>213</c:v>
                </c:pt>
                <c:pt idx="1">
                  <c:v>204</c:v>
                </c:pt>
                <c:pt idx="2">
                  <c:v>203</c:v>
                </c:pt>
                <c:pt idx="3">
                  <c:v>192</c:v>
                </c:pt>
                <c:pt idx="4">
                  <c:v>188</c:v>
                </c:pt>
              </c:numCache>
            </c:numRef>
          </c:val>
          <c:smooth val="0"/>
          <c:extLst>
            <c:ext xmlns:c16="http://schemas.microsoft.com/office/drawing/2014/chart" uri="{C3380CC4-5D6E-409C-BE32-E72D297353CC}">
              <c16:uniqueId val="{00000000-B4EB-4C91-B045-58A1E5EBF560}"/>
            </c:ext>
          </c:extLst>
        </c:ser>
        <c:dLbls>
          <c:showLegendKey val="0"/>
          <c:showVal val="0"/>
          <c:showCatName val="0"/>
          <c:showSerName val="0"/>
          <c:showPercent val="0"/>
          <c:showBubbleSize val="0"/>
        </c:dLbls>
        <c:smooth val="0"/>
        <c:axId val="654691856"/>
        <c:axId val="654697760"/>
      </c:lineChart>
      <c:catAx>
        <c:axId val="65469185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4697760"/>
        <c:crosses val="autoZero"/>
        <c:auto val="1"/>
        <c:lblAlgn val="ctr"/>
        <c:lblOffset val="100"/>
        <c:noMultiLvlLbl val="0"/>
      </c:catAx>
      <c:valAx>
        <c:axId val="65469776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46918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TABLES'!$B$45</c:f>
              <c:strCache>
                <c:ptCount val="1"/>
                <c:pt idx="0">
                  <c:v>Total</c:v>
                </c:pt>
              </c:strCache>
            </c:strRef>
          </c:tx>
          <c:spPr>
            <a:solidFill>
              <a:schemeClr val="accent1"/>
            </a:solidFill>
            <a:ln>
              <a:noFill/>
            </a:ln>
            <a:effectLst/>
          </c:spPr>
          <c:invertIfNegative val="0"/>
          <c:cat>
            <c:strRef>
              <c:f>'PIVOT TABLES'!$A$46:$A$56</c:f>
              <c:strCache>
                <c:ptCount val="10"/>
                <c:pt idx="0">
                  <c:v>Finance</c:v>
                </c:pt>
                <c:pt idx="1">
                  <c:v>Maintenance</c:v>
                </c:pt>
                <c:pt idx="2">
                  <c:v>Training</c:v>
                </c:pt>
                <c:pt idx="3">
                  <c:v>Marketing</c:v>
                </c:pt>
                <c:pt idx="4">
                  <c:v>Operations</c:v>
                </c:pt>
                <c:pt idx="5">
                  <c:v>Quality Assurance</c:v>
                </c:pt>
                <c:pt idx="6">
                  <c:v>Administration</c:v>
                </c:pt>
                <c:pt idx="7">
                  <c:v>Human Resources</c:v>
                </c:pt>
                <c:pt idx="8">
                  <c:v>Manufacturing</c:v>
                </c:pt>
                <c:pt idx="9">
                  <c:v>Logistics</c:v>
                </c:pt>
              </c:strCache>
            </c:strRef>
          </c:cat>
          <c:val>
            <c:numRef>
              <c:f>'PIVOT TABLES'!$B$46:$B$56</c:f>
              <c:numCache>
                <c:formatCode>General</c:formatCode>
                <c:ptCount val="10"/>
                <c:pt idx="0">
                  <c:v>1570859</c:v>
                </c:pt>
                <c:pt idx="1">
                  <c:v>1371364</c:v>
                </c:pt>
                <c:pt idx="2">
                  <c:v>1009969</c:v>
                </c:pt>
                <c:pt idx="3">
                  <c:v>953198</c:v>
                </c:pt>
                <c:pt idx="4">
                  <c:v>947425</c:v>
                </c:pt>
                <c:pt idx="5">
                  <c:v>861686</c:v>
                </c:pt>
                <c:pt idx="6">
                  <c:v>848561</c:v>
                </c:pt>
                <c:pt idx="7">
                  <c:v>797470</c:v>
                </c:pt>
                <c:pt idx="8">
                  <c:v>654860</c:v>
                </c:pt>
                <c:pt idx="9">
                  <c:v>310846</c:v>
                </c:pt>
              </c:numCache>
            </c:numRef>
          </c:val>
          <c:extLst>
            <c:ext xmlns:c16="http://schemas.microsoft.com/office/drawing/2014/chart" uri="{C3380CC4-5D6E-409C-BE32-E72D297353CC}">
              <c16:uniqueId val="{00000000-5C9D-4C93-A3B3-F679FA99AF3A}"/>
            </c:ext>
          </c:extLst>
        </c:ser>
        <c:dLbls>
          <c:showLegendKey val="0"/>
          <c:showVal val="0"/>
          <c:showCatName val="0"/>
          <c:showSerName val="0"/>
          <c:showPercent val="0"/>
          <c:showBubbleSize val="0"/>
        </c:dLbls>
        <c:gapWidth val="219"/>
        <c:overlap val="-27"/>
        <c:axId val="506746696"/>
        <c:axId val="506740464"/>
      </c:barChart>
      <c:catAx>
        <c:axId val="50674669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6740464"/>
        <c:crosses val="autoZero"/>
        <c:auto val="1"/>
        <c:lblAlgn val="ctr"/>
        <c:lblOffset val="100"/>
        <c:noMultiLvlLbl val="0"/>
      </c:catAx>
      <c:valAx>
        <c:axId val="50674046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674669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c:f>
              <c:strCache>
                <c:ptCount val="1"/>
                <c:pt idx="0">
                  <c:v>Total</c:v>
                </c:pt>
              </c:strCache>
            </c:strRef>
          </c:tx>
          <c:spPr>
            <a:solidFill>
              <a:schemeClr val="accent1"/>
            </a:solidFill>
            <a:ln>
              <a:noFill/>
            </a:ln>
            <a:effectLst/>
          </c:spPr>
          <c:invertIfNegative val="0"/>
          <c:cat>
            <c:strRef>
              <c:f>'PIVOT TABLES'!$A$60:$A$65</c:f>
              <c:strCache>
                <c:ptCount val="5"/>
                <c:pt idx="0">
                  <c:v>Giza</c:v>
                </c:pt>
                <c:pt idx="1">
                  <c:v>Cairo</c:v>
                </c:pt>
                <c:pt idx="2">
                  <c:v>Alexandria</c:v>
                </c:pt>
                <c:pt idx="3">
                  <c:v>Sharqia</c:v>
                </c:pt>
                <c:pt idx="4">
                  <c:v>Ismailia</c:v>
                </c:pt>
              </c:strCache>
            </c:strRef>
          </c:cat>
          <c:val>
            <c:numRef>
              <c:f>'PIVOT TABLES'!$B$60:$B$65</c:f>
              <c:numCache>
                <c:formatCode>General</c:formatCode>
                <c:ptCount val="5"/>
                <c:pt idx="0">
                  <c:v>1964781</c:v>
                </c:pt>
                <c:pt idx="1">
                  <c:v>1941358</c:v>
                </c:pt>
                <c:pt idx="2">
                  <c:v>1878121</c:v>
                </c:pt>
                <c:pt idx="3">
                  <c:v>1797302</c:v>
                </c:pt>
                <c:pt idx="4">
                  <c:v>1744676</c:v>
                </c:pt>
              </c:numCache>
            </c:numRef>
          </c:val>
          <c:extLst>
            <c:ext xmlns:c16="http://schemas.microsoft.com/office/drawing/2014/chart" uri="{C3380CC4-5D6E-409C-BE32-E72D297353CC}">
              <c16:uniqueId val="{00000000-739D-47BC-8FDC-7DE1913A2191}"/>
            </c:ext>
          </c:extLst>
        </c:ser>
        <c:dLbls>
          <c:showLegendKey val="0"/>
          <c:showVal val="0"/>
          <c:showCatName val="0"/>
          <c:showSerName val="0"/>
          <c:showPercent val="0"/>
          <c:showBubbleSize val="0"/>
        </c:dLbls>
        <c:gapWidth val="219"/>
        <c:overlap val="-27"/>
        <c:axId val="653770816"/>
        <c:axId val="653766224"/>
      </c:barChart>
      <c:catAx>
        <c:axId val="6537708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3766224"/>
        <c:crosses val="autoZero"/>
        <c:auto val="1"/>
        <c:lblAlgn val="ctr"/>
        <c:lblOffset val="100"/>
        <c:noMultiLvlLbl val="0"/>
      </c:catAx>
      <c:valAx>
        <c:axId val="65376622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537708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Table'!$A$15:$A$25</c:f>
              <c:strCache>
                <c:ptCount val="10"/>
                <c:pt idx="0">
                  <c:v>Finance</c:v>
                </c:pt>
                <c:pt idx="1">
                  <c:v>Maintenance</c:v>
                </c:pt>
                <c:pt idx="2">
                  <c:v>Operations</c:v>
                </c:pt>
                <c:pt idx="3">
                  <c:v>Training</c:v>
                </c:pt>
                <c:pt idx="4">
                  <c:v>Marketing</c:v>
                </c:pt>
                <c:pt idx="5">
                  <c:v>Human Resources</c:v>
                </c:pt>
                <c:pt idx="6">
                  <c:v>Quality Assurance</c:v>
                </c:pt>
                <c:pt idx="7">
                  <c:v>Administration</c:v>
                </c:pt>
                <c:pt idx="8">
                  <c:v>Manufacturing</c:v>
                </c:pt>
                <c:pt idx="9">
                  <c:v>Logistics</c:v>
                </c:pt>
              </c:strCache>
            </c:strRef>
          </c:cat>
          <c:val>
            <c:numRef>
              <c:f>'Pivot Table'!$B$15:$B$25</c:f>
              <c:numCache>
                <c:formatCode>General</c:formatCode>
                <c:ptCount val="10"/>
                <c:pt idx="0">
                  <c:v>166</c:v>
                </c:pt>
                <c:pt idx="1">
                  <c:v>132</c:v>
                </c:pt>
                <c:pt idx="2">
                  <c:v>111</c:v>
                </c:pt>
                <c:pt idx="3">
                  <c:v>108</c:v>
                </c:pt>
                <c:pt idx="4">
                  <c:v>95</c:v>
                </c:pt>
                <c:pt idx="5">
                  <c:v>92</c:v>
                </c:pt>
                <c:pt idx="6">
                  <c:v>91</c:v>
                </c:pt>
                <c:pt idx="7">
                  <c:v>90</c:v>
                </c:pt>
                <c:pt idx="8">
                  <c:v>80</c:v>
                </c:pt>
                <c:pt idx="9">
                  <c:v>35</c:v>
                </c:pt>
              </c:numCache>
            </c:numRef>
          </c:val>
          <c:smooth val="0"/>
          <c:extLst>
            <c:ext xmlns:c16="http://schemas.microsoft.com/office/drawing/2014/chart" uri="{C3380CC4-5D6E-409C-BE32-E72D297353CC}">
              <c16:uniqueId val="{00000000-8E60-4CF9-ACCD-3A80179F9560}"/>
            </c:ext>
          </c:extLst>
        </c:ser>
        <c:dLbls>
          <c:dLblPos val="t"/>
          <c:showLegendKey val="0"/>
          <c:showVal val="1"/>
          <c:showCatName val="0"/>
          <c:showSerName val="0"/>
          <c:showPercent val="0"/>
          <c:showBubbleSize val="0"/>
        </c:dLbls>
        <c:smooth val="0"/>
        <c:axId val="701213759"/>
        <c:axId val="701221439"/>
      </c:lineChart>
      <c:catAx>
        <c:axId val="701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21439"/>
        <c:crosses val="autoZero"/>
        <c:auto val="1"/>
        <c:lblAlgn val="ctr"/>
        <c:lblOffset val="100"/>
        <c:noMultiLvlLbl val="0"/>
      </c:catAx>
      <c:valAx>
        <c:axId val="70122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Table'!$D$15:$D$20</c:f>
              <c:strCache>
                <c:ptCount val="5"/>
                <c:pt idx="0">
                  <c:v>Sharqia</c:v>
                </c:pt>
                <c:pt idx="1">
                  <c:v>Giza</c:v>
                </c:pt>
                <c:pt idx="2">
                  <c:v>Cairo</c:v>
                </c:pt>
                <c:pt idx="3">
                  <c:v>Ismailia</c:v>
                </c:pt>
                <c:pt idx="4">
                  <c:v>Alexandria</c:v>
                </c:pt>
              </c:strCache>
            </c:strRef>
          </c:cat>
          <c:val>
            <c:numRef>
              <c:f>'Pivot Table'!$E$15:$E$20</c:f>
              <c:numCache>
                <c:formatCode>General</c:formatCode>
                <c:ptCount val="5"/>
                <c:pt idx="0">
                  <c:v>213</c:v>
                </c:pt>
                <c:pt idx="1">
                  <c:v>204</c:v>
                </c:pt>
                <c:pt idx="2">
                  <c:v>203</c:v>
                </c:pt>
                <c:pt idx="3">
                  <c:v>192</c:v>
                </c:pt>
                <c:pt idx="4">
                  <c:v>188</c:v>
                </c:pt>
              </c:numCache>
            </c:numRef>
          </c:val>
          <c:smooth val="0"/>
          <c:extLst>
            <c:ext xmlns:c16="http://schemas.microsoft.com/office/drawing/2014/chart" uri="{C3380CC4-5D6E-409C-BE32-E72D297353CC}">
              <c16:uniqueId val="{00000000-1A85-4D5A-9772-CE664A12FC0F}"/>
            </c:ext>
          </c:extLst>
        </c:ser>
        <c:dLbls>
          <c:dLblPos val="t"/>
          <c:showLegendKey val="0"/>
          <c:showVal val="1"/>
          <c:showCatName val="0"/>
          <c:showSerName val="0"/>
          <c:showPercent val="0"/>
          <c:showBubbleSize val="0"/>
        </c:dLbls>
        <c:smooth val="0"/>
        <c:axId val="701259839"/>
        <c:axId val="701243519"/>
      </c:lineChart>
      <c:catAx>
        <c:axId val="7012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43519"/>
        <c:crosses val="autoZero"/>
        <c:auto val="1"/>
        <c:lblAlgn val="ctr"/>
        <c:lblOffset val="100"/>
        <c:noMultiLvlLbl val="0"/>
      </c:catAx>
      <c:valAx>
        <c:axId val="70124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Table'!$A$29:$A$32</c:f>
              <c:strCache>
                <c:ptCount val="3"/>
                <c:pt idx="0">
                  <c:v>Employee</c:v>
                </c:pt>
                <c:pt idx="1">
                  <c:v>Manager</c:v>
                </c:pt>
                <c:pt idx="2">
                  <c:v>Supervisor</c:v>
                </c:pt>
              </c:strCache>
            </c:strRef>
          </c:cat>
          <c:val>
            <c:numRef>
              <c:f>'Pivot Table'!$B$29:$B$32</c:f>
              <c:numCache>
                <c:formatCode>General</c:formatCode>
                <c:ptCount val="3"/>
                <c:pt idx="0">
                  <c:v>671</c:v>
                </c:pt>
                <c:pt idx="1">
                  <c:v>170</c:v>
                </c:pt>
                <c:pt idx="2">
                  <c:v>159</c:v>
                </c:pt>
              </c:numCache>
            </c:numRef>
          </c:val>
          <c:smooth val="0"/>
          <c:extLst>
            <c:ext xmlns:c16="http://schemas.microsoft.com/office/drawing/2014/chart" uri="{C3380CC4-5D6E-409C-BE32-E72D297353CC}">
              <c16:uniqueId val="{00000000-C458-4A69-8168-2F72BDEF6AEC}"/>
            </c:ext>
          </c:extLst>
        </c:ser>
        <c:dLbls>
          <c:dLblPos val="t"/>
          <c:showLegendKey val="0"/>
          <c:showVal val="1"/>
          <c:showCatName val="0"/>
          <c:showSerName val="0"/>
          <c:showPercent val="0"/>
          <c:showBubbleSize val="0"/>
        </c:dLbls>
        <c:smooth val="0"/>
        <c:axId val="701287199"/>
        <c:axId val="701293439"/>
      </c:lineChart>
      <c:catAx>
        <c:axId val="70128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3439"/>
        <c:crosses val="autoZero"/>
        <c:auto val="1"/>
        <c:lblAlgn val="ctr"/>
        <c:lblOffset val="100"/>
        <c:noMultiLvlLbl val="0"/>
      </c:catAx>
      <c:valAx>
        <c:axId val="70129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8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Table'!$D$24:$D$29</c:f>
              <c:strCache>
                <c:ptCount val="5"/>
                <c:pt idx="0">
                  <c:v>Giza</c:v>
                </c:pt>
                <c:pt idx="1">
                  <c:v>Cairo</c:v>
                </c:pt>
                <c:pt idx="2">
                  <c:v>Alexandria</c:v>
                </c:pt>
                <c:pt idx="3">
                  <c:v>Sharqia</c:v>
                </c:pt>
                <c:pt idx="4">
                  <c:v>Ismailia</c:v>
                </c:pt>
              </c:strCache>
            </c:strRef>
          </c:cat>
          <c:val>
            <c:numRef>
              <c:f>'Pivot Table'!$E$24:$E$29</c:f>
              <c:numCache>
                <c:formatCode>General</c:formatCode>
                <c:ptCount val="5"/>
                <c:pt idx="0">
                  <c:v>1964781</c:v>
                </c:pt>
                <c:pt idx="1">
                  <c:v>1941358</c:v>
                </c:pt>
                <c:pt idx="2">
                  <c:v>1878121</c:v>
                </c:pt>
                <c:pt idx="3">
                  <c:v>1797302</c:v>
                </c:pt>
                <c:pt idx="4">
                  <c:v>1744676</c:v>
                </c:pt>
              </c:numCache>
            </c:numRef>
          </c:val>
          <c:extLst>
            <c:ext xmlns:c16="http://schemas.microsoft.com/office/drawing/2014/chart" uri="{C3380CC4-5D6E-409C-BE32-E72D297353CC}">
              <c16:uniqueId val="{00000000-A277-46E8-879A-C18E70CDE295}"/>
            </c:ext>
          </c:extLst>
        </c:ser>
        <c:dLbls>
          <c:dLblPos val="outEnd"/>
          <c:showLegendKey val="0"/>
          <c:showVal val="1"/>
          <c:showCatName val="0"/>
          <c:showSerName val="0"/>
          <c:showPercent val="0"/>
          <c:showBubbleSize val="0"/>
        </c:dLbls>
        <c:gapWidth val="219"/>
        <c:overlap val="-27"/>
        <c:axId val="701308799"/>
        <c:axId val="701319359"/>
      </c:barChart>
      <c:catAx>
        <c:axId val="70130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19359"/>
        <c:crosses val="autoZero"/>
        <c:auto val="1"/>
        <c:lblAlgn val="ctr"/>
        <c:lblOffset val="100"/>
        <c:noMultiLvlLbl val="0"/>
      </c:catAx>
      <c:valAx>
        <c:axId val="70131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0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Table'!$D$33:$D$43</c:f>
              <c:strCache>
                <c:ptCount val="10"/>
                <c:pt idx="0">
                  <c:v>Finance</c:v>
                </c:pt>
                <c:pt idx="1">
                  <c:v>Maintenance</c:v>
                </c:pt>
                <c:pt idx="2">
                  <c:v>Training</c:v>
                </c:pt>
                <c:pt idx="3">
                  <c:v>Marketing</c:v>
                </c:pt>
                <c:pt idx="4">
                  <c:v>Operations</c:v>
                </c:pt>
                <c:pt idx="5">
                  <c:v>Quality Assurance</c:v>
                </c:pt>
                <c:pt idx="6">
                  <c:v>Administration</c:v>
                </c:pt>
                <c:pt idx="7">
                  <c:v>Human Resources</c:v>
                </c:pt>
                <c:pt idx="8">
                  <c:v>Manufacturing</c:v>
                </c:pt>
                <c:pt idx="9">
                  <c:v>Logistics</c:v>
                </c:pt>
              </c:strCache>
            </c:strRef>
          </c:cat>
          <c:val>
            <c:numRef>
              <c:f>'Pivot Table'!$E$33:$E$43</c:f>
              <c:numCache>
                <c:formatCode>General</c:formatCode>
                <c:ptCount val="10"/>
                <c:pt idx="0">
                  <c:v>1570859</c:v>
                </c:pt>
                <c:pt idx="1">
                  <c:v>1371364</c:v>
                </c:pt>
                <c:pt idx="2">
                  <c:v>1009969</c:v>
                </c:pt>
                <c:pt idx="3">
                  <c:v>953198</c:v>
                </c:pt>
                <c:pt idx="4">
                  <c:v>947425</c:v>
                </c:pt>
                <c:pt idx="5">
                  <c:v>861686</c:v>
                </c:pt>
                <c:pt idx="6">
                  <c:v>848561</c:v>
                </c:pt>
                <c:pt idx="7">
                  <c:v>797470</c:v>
                </c:pt>
                <c:pt idx="8">
                  <c:v>654860</c:v>
                </c:pt>
                <c:pt idx="9">
                  <c:v>310846</c:v>
                </c:pt>
              </c:numCache>
            </c:numRef>
          </c:val>
          <c:extLst>
            <c:ext xmlns:c16="http://schemas.microsoft.com/office/drawing/2014/chart" uri="{C3380CC4-5D6E-409C-BE32-E72D297353CC}">
              <c16:uniqueId val="{00000000-AE01-4919-97CE-1E02D71A629D}"/>
            </c:ext>
          </c:extLst>
        </c:ser>
        <c:dLbls>
          <c:dLblPos val="outEnd"/>
          <c:showLegendKey val="0"/>
          <c:showVal val="1"/>
          <c:showCatName val="0"/>
          <c:showSerName val="0"/>
          <c:showPercent val="0"/>
          <c:showBubbleSize val="0"/>
        </c:dLbls>
        <c:gapWidth val="219"/>
        <c:overlap val="-27"/>
        <c:axId val="701298239"/>
        <c:axId val="701298719"/>
      </c:barChart>
      <c:catAx>
        <c:axId val="7012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8719"/>
        <c:crosses val="autoZero"/>
        <c:auto val="1"/>
        <c:lblAlgn val="ctr"/>
        <c:lblOffset val="100"/>
        <c:noMultiLvlLbl val="0"/>
      </c:catAx>
      <c:valAx>
        <c:axId val="70129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none"/>
          </c:marker>
          <c:cat>
            <c:strRef>
              <c:f>'Pivot Table'!$A$15:$A$25</c:f>
              <c:strCache>
                <c:ptCount val="10"/>
                <c:pt idx="0">
                  <c:v>Finance</c:v>
                </c:pt>
                <c:pt idx="1">
                  <c:v>Maintenance</c:v>
                </c:pt>
                <c:pt idx="2">
                  <c:v>Operations</c:v>
                </c:pt>
                <c:pt idx="3">
                  <c:v>Training</c:v>
                </c:pt>
                <c:pt idx="4">
                  <c:v>Marketing</c:v>
                </c:pt>
                <c:pt idx="5">
                  <c:v>Human Resources</c:v>
                </c:pt>
                <c:pt idx="6">
                  <c:v>Quality Assurance</c:v>
                </c:pt>
                <c:pt idx="7">
                  <c:v>Administration</c:v>
                </c:pt>
                <c:pt idx="8">
                  <c:v>Manufacturing</c:v>
                </c:pt>
                <c:pt idx="9">
                  <c:v>Logistics</c:v>
                </c:pt>
              </c:strCache>
            </c:strRef>
          </c:cat>
          <c:val>
            <c:numRef>
              <c:f>'Pivot Table'!$B$15:$B$25</c:f>
              <c:numCache>
                <c:formatCode>General</c:formatCode>
                <c:ptCount val="10"/>
                <c:pt idx="0">
                  <c:v>166</c:v>
                </c:pt>
                <c:pt idx="1">
                  <c:v>132</c:v>
                </c:pt>
                <c:pt idx="2">
                  <c:v>111</c:v>
                </c:pt>
                <c:pt idx="3">
                  <c:v>108</c:v>
                </c:pt>
                <c:pt idx="4">
                  <c:v>95</c:v>
                </c:pt>
                <c:pt idx="5">
                  <c:v>92</c:v>
                </c:pt>
                <c:pt idx="6">
                  <c:v>91</c:v>
                </c:pt>
                <c:pt idx="7">
                  <c:v>90</c:v>
                </c:pt>
                <c:pt idx="8">
                  <c:v>80</c:v>
                </c:pt>
                <c:pt idx="9">
                  <c:v>35</c:v>
                </c:pt>
              </c:numCache>
            </c:numRef>
          </c:val>
          <c:smooth val="0"/>
          <c:extLst>
            <c:ext xmlns:c16="http://schemas.microsoft.com/office/drawing/2014/chart" uri="{C3380CC4-5D6E-409C-BE32-E72D297353CC}">
              <c16:uniqueId val="{00000000-4919-4F1D-B255-56C8B6EB779B}"/>
            </c:ext>
          </c:extLst>
        </c:ser>
        <c:dLbls>
          <c:showLegendKey val="0"/>
          <c:showVal val="0"/>
          <c:showCatName val="0"/>
          <c:showSerName val="0"/>
          <c:showPercent val="0"/>
          <c:showBubbleSize val="0"/>
        </c:dLbls>
        <c:smooth val="0"/>
        <c:axId val="701213759"/>
        <c:axId val="701221439"/>
      </c:lineChart>
      <c:catAx>
        <c:axId val="701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21439"/>
        <c:crosses val="autoZero"/>
        <c:auto val="1"/>
        <c:lblAlgn val="ctr"/>
        <c:lblOffset val="100"/>
        <c:noMultiLvlLbl val="0"/>
      </c:catAx>
      <c:valAx>
        <c:axId val="70122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Table'!$E$14</c:f>
              <c:strCache>
                <c:ptCount val="1"/>
                <c:pt idx="0">
                  <c:v>Total</c:v>
                </c:pt>
              </c:strCache>
            </c:strRef>
          </c:tx>
          <c:spPr>
            <a:ln w="28575" cap="rnd">
              <a:solidFill>
                <a:schemeClr val="accent1"/>
              </a:solidFill>
              <a:round/>
            </a:ln>
            <a:effectLst/>
          </c:spPr>
          <c:marker>
            <c:symbol val="none"/>
          </c:marker>
          <c:cat>
            <c:strRef>
              <c:f>'Pivot Table'!$D$15:$D$20</c:f>
              <c:strCache>
                <c:ptCount val="5"/>
                <c:pt idx="0">
                  <c:v>Sharqia</c:v>
                </c:pt>
                <c:pt idx="1">
                  <c:v>Giza</c:v>
                </c:pt>
                <c:pt idx="2">
                  <c:v>Cairo</c:v>
                </c:pt>
                <c:pt idx="3">
                  <c:v>Ismailia</c:v>
                </c:pt>
                <c:pt idx="4">
                  <c:v>Alexandria</c:v>
                </c:pt>
              </c:strCache>
            </c:strRef>
          </c:cat>
          <c:val>
            <c:numRef>
              <c:f>'Pivot Table'!$E$15:$E$20</c:f>
              <c:numCache>
                <c:formatCode>General</c:formatCode>
                <c:ptCount val="5"/>
                <c:pt idx="0">
                  <c:v>213</c:v>
                </c:pt>
                <c:pt idx="1">
                  <c:v>204</c:v>
                </c:pt>
                <c:pt idx="2">
                  <c:v>203</c:v>
                </c:pt>
                <c:pt idx="3">
                  <c:v>192</c:v>
                </c:pt>
                <c:pt idx="4">
                  <c:v>188</c:v>
                </c:pt>
              </c:numCache>
            </c:numRef>
          </c:val>
          <c:smooth val="0"/>
          <c:extLst>
            <c:ext xmlns:c16="http://schemas.microsoft.com/office/drawing/2014/chart" uri="{C3380CC4-5D6E-409C-BE32-E72D297353CC}">
              <c16:uniqueId val="{00000000-E004-4159-BCCE-CE382627BC5A}"/>
            </c:ext>
          </c:extLst>
        </c:ser>
        <c:dLbls>
          <c:showLegendKey val="0"/>
          <c:showVal val="0"/>
          <c:showCatName val="0"/>
          <c:showSerName val="0"/>
          <c:showPercent val="0"/>
          <c:showBubbleSize val="0"/>
        </c:dLbls>
        <c:smooth val="0"/>
        <c:axId val="701259839"/>
        <c:axId val="701243519"/>
      </c:lineChart>
      <c:catAx>
        <c:axId val="7012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43519"/>
        <c:crosses val="autoZero"/>
        <c:auto val="1"/>
        <c:lblAlgn val="ctr"/>
        <c:lblOffset val="100"/>
        <c:noMultiLvlLbl val="0"/>
      </c:catAx>
      <c:valAx>
        <c:axId val="70124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28575" cap="rnd">
              <a:solidFill>
                <a:schemeClr val="accent1"/>
              </a:solidFill>
              <a:round/>
            </a:ln>
            <a:effectLst/>
          </c:spPr>
          <c:marker>
            <c:symbol val="none"/>
          </c:marker>
          <c:cat>
            <c:strRef>
              <c:f>'Pivot Table'!$A$29:$A$32</c:f>
              <c:strCache>
                <c:ptCount val="3"/>
                <c:pt idx="0">
                  <c:v>Employee</c:v>
                </c:pt>
                <c:pt idx="1">
                  <c:v>Manager</c:v>
                </c:pt>
                <c:pt idx="2">
                  <c:v>Supervisor</c:v>
                </c:pt>
              </c:strCache>
            </c:strRef>
          </c:cat>
          <c:val>
            <c:numRef>
              <c:f>'Pivot Table'!$B$29:$B$32</c:f>
              <c:numCache>
                <c:formatCode>General</c:formatCode>
                <c:ptCount val="3"/>
                <c:pt idx="0">
                  <c:v>671</c:v>
                </c:pt>
                <c:pt idx="1">
                  <c:v>170</c:v>
                </c:pt>
                <c:pt idx="2">
                  <c:v>159</c:v>
                </c:pt>
              </c:numCache>
            </c:numRef>
          </c:val>
          <c:smooth val="0"/>
          <c:extLst>
            <c:ext xmlns:c16="http://schemas.microsoft.com/office/drawing/2014/chart" uri="{C3380CC4-5D6E-409C-BE32-E72D297353CC}">
              <c16:uniqueId val="{00000000-7E4F-49F9-94AE-32E9DECC65A7}"/>
            </c:ext>
          </c:extLst>
        </c:ser>
        <c:dLbls>
          <c:showLegendKey val="0"/>
          <c:showVal val="0"/>
          <c:showCatName val="0"/>
          <c:showSerName val="0"/>
          <c:showPercent val="0"/>
          <c:showBubbleSize val="0"/>
        </c:dLbls>
        <c:smooth val="0"/>
        <c:axId val="701287199"/>
        <c:axId val="701293439"/>
      </c:lineChart>
      <c:catAx>
        <c:axId val="70128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3439"/>
        <c:crosses val="autoZero"/>
        <c:auto val="1"/>
        <c:lblAlgn val="ctr"/>
        <c:lblOffset val="100"/>
        <c:noMultiLvlLbl val="0"/>
      </c:catAx>
      <c:valAx>
        <c:axId val="70129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8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Table'!$E$23</c:f>
              <c:strCache>
                <c:ptCount val="1"/>
                <c:pt idx="0">
                  <c:v>Total</c:v>
                </c:pt>
              </c:strCache>
            </c:strRef>
          </c:tx>
          <c:spPr>
            <a:solidFill>
              <a:schemeClr val="accent1"/>
            </a:solidFill>
            <a:ln>
              <a:noFill/>
            </a:ln>
            <a:effectLst/>
          </c:spPr>
          <c:invertIfNegative val="0"/>
          <c:cat>
            <c:strRef>
              <c:f>'Pivot Table'!$D$24:$D$29</c:f>
              <c:strCache>
                <c:ptCount val="5"/>
                <c:pt idx="0">
                  <c:v>Giza</c:v>
                </c:pt>
                <c:pt idx="1">
                  <c:v>Cairo</c:v>
                </c:pt>
                <c:pt idx="2">
                  <c:v>Alexandria</c:v>
                </c:pt>
                <c:pt idx="3">
                  <c:v>Sharqia</c:v>
                </c:pt>
                <c:pt idx="4">
                  <c:v>Ismailia</c:v>
                </c:pt>
              </c:strCache>
            </c:strRef>
          </c:cat>
          <c:val>
            <c:numRef>
              <c:f>'Pivot Table'!$E$24:$E$29</c:f>
              <c:numCache>
                <c:formatCode>General</c:formatCode>
                <c:ptCount val="5"/>
                <c:pt idx="0">
                  <c:v>1964781</c:v>
                </c:pt>
                <c:pt idx="1">
                  <c:v>1941358</c:v>
                </c:pt>
                <c:pt idx="2">
                  <c:v>1878121</c:v>
                </c:pt>
                <c:pt idx="3">
                  <c:v>1797302</c:v>
                </c:pt>
                <c:pt idx="4">
                  <c:v>1744676</c:v>
                </c:pt>
              </c:numCache>
            </c:numRef>
          </c:val>
          <c:extLst>
            <c:ext xmlns:c16="http://schemas.microsoft.com/office/drawing/2014/chart" uri="{C3380CC4-5D6E-409C-BE32-E72D297353CC}">
              <c16:uniqueId val="{00000000-5206-4936-A074-1F7FEDB7B25F}"/>
            </c:ext>
          </c:extLst>
        </c:ser>
        <c:dLbls>
          <c:showLegendKey val="0"/>
          <c:showVal val="0"/>
          <c:showCatName val="0"/>
          <c:showSerName val="0"/>
          <c:showPercent val="0"/>
          <c:showBubbleSize val="0"/>
        </c:dLbls>
        <c:gapWidth val="219"/>
        <c:overlap val="-27"/>
        <c:axId val="701308799"/>
        <c:axId val="701319359"/>
      </c:barChart>
      <c:catAx>
        <c:axId val="70130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19359"/>
        <c:crosses val="autoZero"/>
        <c:auto val="1"/>
        <c:lblAlgn val="ctr"/>
        <c:lblOffset val="100"/>
        <c:noMultiLvlLbl val="0"/>
      </c:catAx>
      <c:valAx>
        <c:axId val="70131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0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Table'!$E$32</c:f>
              <c:strCache>
                <c:ptCount val="1"/>
                <c:pt idx="0">
                  <c:v>Total</c:v>
                </c:pt>
              </c:strCache>
            </c:strRef>
          </c:tx>
          <c:spPr>
            <a:solidFill>
              <a:schemeClr val="accent1"/>
            </a:solidFill>
            <a:ln>
              <a:noFill/>
            </a:ln>
            <a:effectLst/>
          </c:spPr>
          <c:invertIfNegative val="0"/>
          <c:cat>
            <c:strRef>
              <c:f>'Pivot Table'!$D$33:$D$43</c:f>
              <c:strCache>
                <c:ptCount val="10"/>
                <c:pt idx="0">
                  <c:v>Finance</c:v>
                </c:pt>
                <c:pt idx="1">
                  <c:v>Maintenance</c:v>
                </c:pt>
                <c:pt idx="2">
                  <c:v>Training</c:v>
                </c:pt>
                <c:pt idx="3">
                  <c:v>Marketing</c:v>
                </c:pt>
                <c:pt idx="4">
                  <c:v>Operations</c:v>
                </c:pt>
                <c:pt idx="5">
                  <c:v>Quality Assurance</c:v>
                </c:pt>
                <c:pt idx="6">
                  <c:v>Administration</c:v>
                </c:pt>
                <c:pt idx="7">
                  <c:v>Human Resources</c:v>
                </c:pt>
                <c:pt idx="8">
                  <c:v>Manufacturing</c:v>
                </c:pt>
                <c:pt idx="9">
                  <c:v>Logistics</c:v>
                </c:pt>
              </c:strCache>
            </c:strRef>
          </c:cat>
          <c:val>
            <c:numRef>
              <c:f>'Pivot Table'!$E$33:$E$43</c:f>
              <c:numCache>
                <c:formatCode>General</c:formatCode>
                <c:ptCount val="10"/>
                <c:pt idx="0">
                  <c:v>1570859</c:v>
                </c:pt>
                <c:pt idx="1">
                  <c:v>1371364</c:v>
                </c:pt>
                <c:pt idx="2">
                  <c:v>1009969</c:v>
                </c:pt>
                <c:pt idx="3">
                  <c:v>953198</c:v>
                </c:pt>
                <c:pt idx="4">
                  <c:v>947425</c:v>
                </c:pt>
                <c:pt idx="5">
                  <c:v>861686</c:v>
                </c:pt>
                <c:pt idx="6">
                  <c:v>848561</c:v>
                </c:pt>
                <c:pt idx="7">
                  <c:v>797470</c:v>
                </c:pt>
                <c:pt idx="8">
                  <c:v>654860</c:v>
                </c:pt>
                <c:pt idx="9">
                  <c:v>310846</c:v>
                </c:pt>
              </c:numCache>
            </c:numRef>
          </c:val>
          <c:extLst>
            <c:ext xmlns:c16="http://schemas.microsoft.com/office/drawing/2014/chart" uri="{C3380CC4-5D6E-409C-BE32-E72D297353CC}">
              <c16:uniqueId val="{00000000-48B0-4699-8868-C436385F86F1}"/>
            </c:ext>
          </c:extLst>
        </c:ser>
        <c:dLbls>
          <c:showLegendKey val="0"/>
          <c:showVal val="0"/>
          <c:showCatName val="0"/>
          <c:showSerName val="0"/>
          <c:showPercent val="0"/>
          <c:showBubbleSize val="0"/>
        </c:dLbls>
        <c:gapWidth val="219"/>
        <c:overlap val="-27"/>
        <c:axId val="701298239"/>
        <c:axId val="701298719"/>
      </c:barChart>
      <c:catAx>
        <c:axId val="7012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8719"/>
        <c:crosses val="autoZero"/>
        <c:auto val="1"/>
        <c:lblAlgn val="ctr"/>
        <c:lblOffset val="100"/>
        <c:noMultiLvlLbl val="0"/>
      </c:catAx>
      <c:valAx>
        <c:axId val="70129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5</xdr:col>
      <xdr:colOff>515328</xdr:colOff>
      <xdr:row>2</xdr:row>
      <xdr:rowOff>15632</xdr:rowOff>
    </xdr:from>
    <xdr:to>
      <xdr:col>8</xdr:col>
      <xdr:colOff>365858</xdr:colOff>
      <xdr:row>15</xdr:row>
      <xdr:rowOff>169085</xdr:rowOff>
    </xdr:to>
    <mc:AlternateContent xmlns:mc="http://schemas.openxmlformats.org/markup-compatibility/2006" xmlns:a14="http://schemas.microsoft.com/office/drawing/2010/main">
      <mc:Choice Requires="a14">
        <xdr:graphicFrame macro="">
          <xdr:nvGraphicFramePr>
            <xdr:cNvPr id="2" name="Position">
              <a:extLst>
                <a:ext uri="{FF2B5EF4-FFF2-40B4-BE49-F238E27FC236}">
                  <a16:creationId xmlns:a16="http://schemas.microsoft.com/office/drawing/2014/main" id="{55ECFC18-E9C1-4466-802C-DEF38C249DCE}"/>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0765409201" y="374220"/>
              <a:ext cx="1822766" cy="248427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517770</xdr:colOff>
      <xdr:row>3</xdr:row>
      <xdr:rowOff>8305</xdr:rowOff>
    </xdr:from>
    <xdr:to>
      <xdr:col>9</xdr:col>
      <xdr:colOff>368299</xdr:colOff>
      <xdr:row>16</xdr:row>
      <xdr:rowOff>161758</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312A01E3-43AB-4E8C-8C4C-C86C243C0D4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0764749348" y="546187"/>
              <a:ext cx="1822765" cy="248427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515327</xdr:colOff>
      <xdr:row>5</xdr:row>
      <xdr:rowOff>118208</xdr:rowOff>
    </xdr:from>
    <xdr:to>
      <xdr:col>10</xdr:col>
      <xdr:colOff>365857</xdr:colOff>
      <xdr:row>19</xdr:row>
      <xdr:rowOff>95815</xdr:rowOff>
    </xdr:to>
    <mc:AlternateContent xmlns:mc="http://schemas.openxmlformats.org/markup-compatibility/2006" xmlns:a14="http://schemas.microsoft.com/office/drawing/2010/main">
      <mc:Choice Requires="a14">
        <xdr:graphicFrame macro="">
          <xdr:nvGraphicFramePr>
            <xdr:cNvPr id="4" name="name of month">
              <a:extLst>
                <a:ext uri="{FF2B5EF4-FFF2-40B4-BE49-F238E27FC236}">
                  <a16:creationId xmlns:a16="http://schemas.microsoft.com/office/drawing/2014/main" id="{E60F118C-4EBA-4CAA-9622-2AB5C3325479}"/>
                </a:ext>
              </a:extLst>
            </xdr:cNvPr>
            <xdr:cNvGraphicFramePr/>
          </xdr:nvGraphicFramePr>
          <xdr:xfrm>
            <a:off x="0" y="0"/>
            <a:ext cx="0" cy="0"/>
          </xdr:xfrm>
          <a:graphic>
            <a:graphicData uri="http://schemas.microsoft.com/office/drawing/2010/slicer">
              <sle:slicer xmlns:sle="http://schemas.microsoft.com/office/drawing/2010/slicer" name="name of month"/>
            </a:graphicData>
          </a:graphic>
        </xdr:graphicFrame>
      </mc:Choice>
      <mc:Fallback xmlns="">
        <xdr:sp macro="" textlink="">
          <xdr:nvSpPr>
            <xdr:cNvPr id="0" name=""/>
            <xdr:cNvSpPr>
              <a:spLocks noTextEdit="1"/>
            </xdr:cNvSpPr>
          </xdr:nvSpPr>
          <xdr:spPr>
            <a:xfrm>
              <a:off x="10764094379" y="1014679"/>
              <a:ext cx="1822765" cy="248772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605693</xdr:colOff>
      <xdr:row>18</xdr:row>
      <xdr:rowOff>48846</xdr:rowOff>
    </xdr:from>
    <xdr:to>
      <xdr:col>8</xdr:col>
      <xdr:colOff>427404</xdr:colOff>
      <xdr:row>31</xdr:row>
      <xdr:rowOff>3908</xdr:rowOff>
    </xdr:to>
    <xdr:graphicFrame macro="">
      <xdr:nvGraphicFramePr>
        <xdr:cNvPr id="5" name="Chart 4">
          <a:extLst>
            <a:ext uri="{FF2B5EF4-FFF2-40B4-BE49-F238E27FC236}">
              <a16:creationId xmlns:a16="http://schemas.microsoft.com/office/drawing/2014/main" id="{9D141453-9665-45B6-9AC1-B320AD0A5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517769</xdr:colOff>
      <xdr:row>30</xdr:row>
      <xdr:rowOff>83038</xdr:rowOff>
    </xdr:from>
    <xdr:to>
      <xdr:col>8</xdr:col>
      <xdr:colOff>495788</xdr:colOff>
      <xdr:row>41</xdr:row>
      <xdr:rowOff>72293</xdr:rowOff>
    </xdr:to>
    <xdr:graphicFrame macro="">
      <xdr:nvGraphicFramePr>
        <xdr:cNvPr id="6" name="Chart 5">
          <a:extLst>
            <a:ext uri="{FF2B5EF4-FFF2-40B4-BE49-F238E27FC236}">
              <a16:creationId xmlns:a16="http://schemas.microsoft.com/office/drawing/2014/main" id="{D63E89D9-E18C-4BA0-B1E1-61BD625FC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566614</xdr:colOff>
      <xdr:row>41</xdr:row>
      <xdr:rowOff>166077</xdr:rowOff>
    </xdr:from>
    <xdr:to>
      <xdr:col>7</xdr:col>
      <xdr:colOff>578827</xdr:colOff>
      <xdr:row>54</xdr:row>
      <xdr:rowOff>28331</xdr:rowOff>
    </xdr:to>
    <xdr:graphicFrame macro="">
      <xdr:nvGraphicFramePr>
        <xdr:cNvPr id="7" name="Chart 6">
          <a:extLst>
            <a:ext uri="{FF2B5EF4-FFF2-40B4-BE49-F238E27FC236}">
              <a16:creationId xmlns:a16="http://schemas.microsoft.com/office/drawing/2014/main" id="{0892DF45-843F-414D-A213-F22CC9C65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859117</xdr:colOff>
      <xdr:row>48</xdr:row>
      <xdr:rowOff>14939</xdr:rowOff>
    </xdr:from>
    <xdr:to>
      <xdr:col>9</xdr:col>
      <xdr:colOff>328705</xdr:colOff>
      <xdr:row>61</xdr:row>
      <xdr:rowOff>49305</xdr:rowOff>
    </xdr:to>
    <xdr:graphicFrame macro="">
      <xdr:nvGraphicFramePr>
        <xdr:cNvPr id="8" name="Chart 7">
          <a:extLst>
            <a:ext uri="{FF2B5EF4-FFF2-40B4-BE49-F238E27FC236}">
              <a16:creationId xmlns:a16="http://schemas.microsoft.com/office/drawing/2014/main" id="{E724E7D4-C515-4763-928E-F60831270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620059</xdr:colOff>
      <xdr:row>61</xdr:row>
      <xdr:rowOff>104588</xdr:rowOff>
    </xdr:from>
    <xdr:to>
      <xdr:col>9</xdr:col>
      <xdr:colOff>164353</xdr:colOff>
      <xdr:row>73</xdr:row>
      <xdr:rowOff>34364</xdr:rowOff>
    </xdr:to>
    <xdr:graphicFrame macro="">
      <xdr:nvGraphicFramePr>
        <xdr:cNvPr id="9" name="Chart 8">
          <a:extLst>
            <a:ext uri="{FF2B5EF4-FFF2-40B4-BE49-F238E27FC236}">
              <a16:creationId xmlns:a16="http://schemas.microsoft.com/office/drawing/2014/main" id="{E2B64F2B-D3AE-49F1-BCA6-525DCC664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381000</xdr:colOff>
      <xdr:row>5</xdr:row>
      <xdr:rowOff>176846</xdr:rowOff>
    </xdr:to>
    <xdr:sp macro="" textlink="">
      <xdr:nvSpPr>
        <xdr:cNvPr id="2" name="Rectangle 1">
          <a:extLst>
            <a:ext uri="{FF2B5EF4-FFF2-40B4-BE49-F238E27FC236}">
              <a16:creationId xmlns:a16="http://schemas.microsoft.com/office/drawing/2014/main" id="{935027FC-9A9E-E198-951E-113EB5A1D4D6}"/>
            </a:ext>
          </a:extLst>
        </xdr:cNvPr>
        <xdr:cNvSpPr/>
      </xdr:nvSpPr>
      <xdr:spPr>
        <a:xfrm>
          <a:off x="0" y="0"/>
          <a:ext cx="2206679" cy="108708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solidFill>
                <a:schemeClr val="tx2">
                  <a:lumMod val="75000"/>
                </a:schemeClr>
              </a:solidFill>
            </a:rPr>
            <a:t>Human</a:t>
          </a:r>
          <a:r>
            <a:rPr lang="en-US" sz="2000" b="1" baseline="0">
              <a:solidFill>
                <a:schemeClr val="tx2">
                  <a:lumMod val="75000"/>
                </a:schemeClr>
              </a:solidFill>
            </a:rPr>
            <a:t> Resource Dashboard</a:t>
          </a:r>
        </a:p>
        <a:p>
          <a:pPr algn="ctr"/>
          <a:r>
            <a:rPr lang="en-US" sz="2000" b="1" baseline="0">
              <a:solidFill>
                <a:schemeClr val="tx2">
                  <a:lumMod val="75000"/>
                </a:schemeClr>
              </a:solidFill>
            </a:rPr>
            <a:t> 2026</a:t>
          </a:r>
          <a:endParaRPr lang="en-US" sz="2000" b="1">
            <a:solidFill>
              <a:schemeClr val="tx2">
                <a:lumMod val="75000"/>
              </a:schemeClr>
            </a:solidFill>
          </a:endParaRPr>
        </a:p>
      </xdr:txBody>
    </xdr:sp>
    <xdr:clientData/>
  </xdr:twoCellAnchor>
  <xdr:twoCellAnchor>
    <xdr:from>
      <xdr:col>11</xdr:col>
      <xdr:colOff>128337</xdr:colOff>
      <xdr:row>13</xdr:row>
      <xdr:rowOff>19922</xdr:rowOff>
    </xdr:from>
    <xdr:to>
      <xdr:col>16</xdr:col>
      <xdr:colOff>318385</xdr:colOff>
      <xdr:row>27</xdr:row>
      <xdr:rowOff>36094</xdr:rowOff>
    </xdr:to>
    <xdr:sp macro="" textlink="">
      <xdr:nvSpPr>
        <xdr:cNvPr id="6" name="Rectangle: Rounded Corners 5">
          <a:extLst>
            <a:ext uri="{FF2B5EF4-FFF2-40B4-BE49-F238E27FC236}">
              <a16:creationId xmlns:a16="http://schemas.microsoft.com/office/drawing/2014/main" id="{FAD1CC44-CE1F-8E19-1BC6-708A2E93FE8A}"/>
            </a:ext>
          </a:extLst>
        </xdr:cNvPr>
        <xdr:cNvSpPr/>
      </xdr:nvSpPr>
      <xdr:spPr>
        <a:xfrm>
          <a:off x="6833937" y="2331322"/>
          <a:ext cx="3276148" cy="2505372"/>
        </a:xfrm>
        <a:prstGeom prst="roundRect">
          <a:avLst/>
        </a:prstGeom>
        <a:solidFill>
          <a:schemeClr val="bg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63256</xdr:colOff>
      <xdr:row>29</xdr:row>
      <xdr:rowOff>73700</xdr:rowOff>
    </xdr:from>
    <xdr:to>
      <xdr:col>7</xdr:col>
      <xdr:colOff>568947</xdr:colOff>
      <xdr:row>43</xdr:row>
      <xdr:rowOff>138545</xdr:rowOff>
    </xdr:to>
    <xdr:sp macro="" textlink="">
      <xdr:nvSpPr>
        <xdr:cNvPr id="7" name="Rectangle: Rounded Corners 6">
          <a:extLst>
            <a:ext uri="{FF2B5EF4-FFF2-40B4-BE49-F238E27FC236}">
              <a16:creationId xmlns:a16="http://schemas.microsoft.com/office/drawing/2014/main" id="{A865D276-2E9A-4146-88AB-8EF2ED9DB565}"/>
            </a:ext>
          </a:extLst>
        </xdr:cNvPr>
        <xdr:cNvSpPr/>
      </xdr:nvSpPr>
      <xdr:spPr>
        <a:xfrm>
          <a:off x="63256" y="5423742"/>
          <a:ext cx="4772891" cy="2647624"/>
        </a:xfrm>
        <a:prstGeom prst="roundRect">
          <a:avLst/>
        </a:prstGeom>
        <a:solidFill>
          <a:schemeClr val="bg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58270</xdr:colOff>
      <xdr:row>29</xdr:row>
      <xdr:rowOff>39208</xdr:rowOff>
    </xdr:from>
    <xdr:to>
      <xdr:col>16</xdr:col>
      <xdr:colOff>277316</xdr:colOff>
      <xdr:row>43</xdr:row>
      <xdr:rowOff>123012</xdr:rowOff>
    </xdr:to>
    <xdr:sp macro="" textlink="">
      <xdr:nvSpPr>
        <xdr:cNvPr id="8" name="Rectangle: Rounded Corners 7">
          <a:extLst>
            <a:ext uri="{FF2B5EF4-FFF2-40B4-BE49-F238E27FC236}">
              <a16:creationId xmlns:a16="http://schemas.microsoft.com/office/drawing/2014/main" id="{04617E62-3D3F-4FDE-8616-317F57072C7C}"/>
            </a:ext>
          </a:extLst>
        </xdr:cNvPr>
        <xdr:cNvSpPr/>
      </xdr:nvSpPr>
      <xdr:spPr>
        <a:xfrm>
          <a:off x="4935070" y="5195408"/>
          <a:ext cx="5133946" cy="2573004"/>
        </a:xfrm>
        <a:prstGeom prst="roundRect">
          <a:avLst/>
        </a:prstGeom>
        <a:solidFill>
          <a:schemeClr val="bg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83530</xdr:colOff>
      <xdr:row>12</xdr:row>
      <xdr:rowOff>153607</xdr:rowOff>
    </xdr:from>
    <xdr:to>
      <xdr:col>5</xdr:col>
      <xdr:colOff>273578</xdr:colOff>
      <xdr:row>26</xdr:row>
      <xdr:rowOff>169779</xdr:rowOff>
    </xdr:to>
    <xdr:sp macro="" textlink="">
      <xdr:nvSpPr>
        <xdr:cNvPr id="13" name="Rectangle: Rounded Corners 12">
          <a:extLst>
            <a:ext uri="{FF2B5EF4-FFF2-40B4-BE49-F238E27FC236}">
              <a16:creationId xmlns:a16="http://schemas.microsoft.com/office/drawing/2014/main" id="{5098C4C4-9432-4873-B66C-DC0492468EA3}"/>
            </a:ext>
          </a:extLst>
        </xdr:cNvPr>
        <xdr:cNvSpPr/>
      </xdr:nvSpPr>
      <xdr:spPr>
        <a:xfrm>
          <a:off x="83530" y="2287207"/>
          <a:ext cx="3238048" cy="2505372"/>
        </a:xfrm>
        <a:prstGeom prst="roundRect">
          <a:avLst/>
        </a:prstGeom>
        <a:solidFill>
          <a:schemeClr val="bg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425116</xdr:colOff>
      <xdr:row>12</xdr:row>
      <xdr:rowOff>164970</xdr:rowOff>
    </xdr:from>
    <xdr:to>
      <xdr:col>11</xdr:col>
      <xdr:colOff>5564</xdr:colOff>
      <xdr:row>27</xdr:row>
      <xdr:rowOff>3342</xdr:rowOff>
    </xdr:to>
    <xdr:sp macro="" textlink="">
      <xdr:nvSpPr>
        <xdr:cNvPr id="14" name="Rectangle: Rounded Corners 13">
          <a:extLst>
            <a:ext uri="{FF2B5EF4-FFF2-40B4-BE49-F238E27FC236}">
              <a16:creationId xmlns:a16="http://schemas.microsoft.com/office/drawing/2014/main" id="{39260686-85AF-46D1-ABE0-228898C897F7}"/>
            </a:ext>
          </a:extLst>
        </xdr:cNvPr>
        <xdr:cNvSpPr/>
      </xdr:nvSpPr>
      <xdr:spPr>
        <a:xfrm>
          <a:off x="3473116" y="2298570"/>
          <a:ext cx="3238048" cy="2505372"/>
        </a:xfrm>
        <a:prstGeom prst="roundRect">
          <a:avLst/>
        </a:prstGeom>
        <a:solidFill>
          <a:schemeClr val="bg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7</xdr:col>
      <xdr:colOff>51828</xdr:colOff>
      <xdr:row>2</xdr:row>
      <xdr:rowOff>131719</xdr:rowOff>
    </xdr:from>
    <xdr:to>
      <xdr:col>7</xdr:col>
      <xdr:colOff>390980</xdr:colOff>
      <xdr:row>4</xdr:row>
      <xdr:rowOff>106191</xdr:rowOff>
    </xdr:to>
    <xdr:pic>
      <xdr:nvPicPr>
        <xdr:cNvPr id="21" name="Graphic 20" descr="Woman outline">
          <a:extLst>
            <a:ext uri="{FF2B5EF4-FFF2-40B4-BE49-F238E27FC236}">
              <a16:creationId xmlns:a16="http://schemas.microsoft.com/office/drawing/2014/main" id="{46464576-1306-0B31-FC3A-5629C0627F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30141" y="496844"/>
          <a:ext cx="339152" cy="339597"/>
        </a:xfrm>
        <a:prstGeom prst="rect">
          <a:avLst/>
        </a:prstGeom>
      </xdr:spPr>
    </xdr:pic>
    <xdr:clientData/>
  </xdr:twoCellAnchor>
  <xdr:twoCellAnchor editAs="oneCell">
    <xdr:from>
      <xdr:col>7</xdr:col>
      <xdr:colOff>84230</xdr:colOff>
      <xdr:row>0</xdr:row>
      <xdr:rowOff>102722</xdr:rowOff>
    </xdr:from>
    <xdr:to>
      <xdr:col>7</xdr:col>
      <xdr:colOff>366711</xdr:colOff>
      <xdr:row>2</xdr:row>
      <xdr:rowOff>28015</xdr:rowOff>
    </xdr:to>
    <xdr:pic>
      <xdr:nvPicPr>
        <xdr:cNvPr id="25" name="Graphic 24" descr="Male profile outline">
          <a:extLst>
            <a:ext uri="{FF2B5EF4-FFF2-40B4-BE49-F238E27FC236}">
              <a16:creationId xmlns:a16="http://schemas.microsoft.com/office/drawing/2014/main" id="{6CB65D56-5846-2461-B857-773B8E74AF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62543" y="102722"/>
          <a:ext cx="282481" cy="290418"/>
        </a:xfrm>
        <a:prstGeom prst="rect">
          <a:avLst/>
        </a:prstGeom>
      </xdr:spPr>
    </xdr:pic>
    <xdr:clientData/>
  </xdr:twoCellAnchor>
  <xdr:twoCellAnchor editAs="oneCell">
    <xdr:from>
      <xdr:col>13</xdr:col>
      <xdr:colOff>97117</xdr:colOff>
      <xdr:row>0</xdr:row>
      <xdr:rowOff>134471</xdr:rowOff>
    </xdr:from>
    <xdr:to>
      <xdr:col>14</xdr:col>
      <xdr:colOff>435</xdr:colOff>
      <xdr:row>3</xdr:row>
      <xdr:rowOff>107578</xdr:rowOff>
    </xdr:to>
    <xdr:pic>
      <xdr:nvPicPr>
        <xdr:cNvPr id="27" name="Graphic 26" descr="Rating outline">
          <a:extLst>
            <a:ext uri="{FF2B5EF4-FFF2-40B4-BE49-F238E27FC236}">
              <a16:creationId xmlns:a16="http://schemas.microsoft.com/office/drawing/2014/main" id="{F4D21677-B4B2-6620-BA4A-523AB2124E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060764" y="134471"/>
          <a:ext cx="510989" cy="510989"/>
        </a:xfrm>
        <a:prstGeom prst="rect">
          <a:avLst/>
        </a:prstGeom>
      </xdr:spPr>
    </xdr:pic>
    <xdr:clientData/>
  </xdr:twoCellAnchor>
  <xdr:twoCellAnchor editAs="oneCell">
    <xdr:from>
      <xdr:col>11</xdr:col>
      <xdr:colOff>369453</xdr:colOff>
      <xdr:row>2</xdr:row>
      <xdr:rowOff>178005</xdr:rowOff>
    </xdr:from>
    <xdr:to>
      <xdr:col>12</xdr:col>
      <xdr:colOff>130429</xdr:colOff>
      <xdr:row>4</xdr:row>
      <xdr:rowOff>137424</xdr:rowOff>
    </xdr:to>
    <xdr:pic>
      <xdr:nvPicPr>
        <xdr:cNvPr id="29" name="Picture 28">
          <a:extLst>
            <a:ext uri="{FF2B5EF4-FFF2-40B4-BE49-F238E27FC236}">
              <a16:creationId xmlns:a16="http://schemas.microsoft.com/office/drawing/2014/main" id="{B35DAEA4-94C0-735F-77C8-3EEB303005B8}"/>
            </a:ext>
          </a:extLst>
        </xdr:cNvPr>
        <xdr:cNvPicPr>
          <a:picLocks noChangeAspect="1"/>
        </xdr:cNvPicPr>
      </xdr:nvPicPr>
      <xdr:blipFill>
        <a:blip xmlns:r="http://schemas.openxmlformats.org/officeDocument/2006/relationships" r:embed="rId7"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7092516" y="543130"/>
          <a:ext cx="316601" cy="324544"/>
        </a:xfrm>
        <a:prstGeom prst="rect">
          <a:avLst/>
        </a:prstGeom>
      </xdr:spPr>
    </xdr:pic>
    <xdr:clientData/>
  </xdr:twoCellAnchor>
  <xdr:twoCellAnchor editAs="oneCell">
    <xdr:from>
      <xdr:col>11</xdr:col>
      <xdr:colOff>386915</xdr:colOff>
      <xdr:row>0</xdr:row>
      <xdr:rowOff>108818</xdr:rowOff>
    </xdr:from>
    <xdr:to>
      <xdr:col>12</xdr:col>
      <xdr:colOff>145103</xdr:colOff>
      <xdr:row>2</xdr:row>
      <xdr:rowOff>67253</xdr:rowOff>
    </xdr:to>
    <xdr:pic>
      <xdr:nvPicPr>
        <xdr:cNvPr id="31" name="Picture 30">
          <a:extLst>
            <a:ext uri="{FF2B5EF4-FFF2-40B4-BE49-F238E27FC236}">
              <a16:creationId xmlns:a16="http://schemas.microsoft.com/office/drawing/2014/main" id="{B822B50F-0F6E-0BFD-4630-D4D46E7A8CE7}"/>
            </a:ext>
          </a:extLst>
        </xdr:cNvPr>
        <xdr:cNvPicPr>
          <a:picLocks noChangeAspect="1"/>
        </xdr:cNvPicPr>
      </xdr:nvPicPr>
      <xdr:blipFill>
        <a:blip xmlns:r="http://schemas.openxmlformats.org/officeDocument/2006/relationships" r:embed="rId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7109978" y="108818"/>
          <a:ext cx="313813" cy="323560"/>
        </a:xfrm>
        <a:prstGeom prst="rect">
          <a:avLst/>
        </a:prstGeom>
      </xdr:spPr>
    </xdr:pic>
    <xdr:clientData/>
  </xdr:twoCellAnchor>
  <xdr:twoCellAnchor editAs="oneCell">
    <xdr:from>
      <xdr:col>16</xdr:col>
      <xdr:colOff>429706</xdr:colOff>
      <xdr:row>31</xdr:row>
      <xdr:rowOff>49697</xdr:rowOff>
    </xdr:from>
    <xdr:to>
      <xdr:col>17</xdr:col>
      <xdr:colOff>582036</xdr:colOff>
      <xdr:row>39</xdr:row>
      <xdr:rowOff>22746</xdr:rowOff>
    </xdr:to>
    <mc:AlternateContent xmlns:mc="http://schemas.openxmlformats.org/markup-compatibility/2006">
      <mc:Choice xmlns:a14="http://schemas.microsoft.com/office/drawing/2010/main" Requires="a14">
        <xdr:graphicFrame macro="">
          <xdr:nvGraphicFramePr>
            <xdr:cNvPr id="22" name="Position 4">
              <a:extLst>
                <a:ext uri="{FF2B5EF4-FFF2-40B4-BE49-F238E27FC236}">
                  <a16:creationId xmlns:a16="http://schemas.microsoft.com/office/drawing/2014/main" id="{1B9A64EF-21B1-4768-B5A4-975D544CAB48}"/>
                </a:ext>
              </a:extLst>
            </xdr:cNvPr>
            <xdr:cNvGraphicFramePr/>
          </xdr:nvGraphicFramePr>
          <xdr:xfrm>
            <a:off x="0" y="0"/>
            <a:ext cx="0" cy="0"/>
          </xdr:xfrm>
          <a:graphic>
            <a:graphicData uri="http://schemas.microsoft.com/office/drawing/2010/slicer">
              <sle:slicer xmlns:sle="http://schemas.microsoft.com/office/drawing/2010/slicer" name="Position 4"/>
            </a:graphicData>
          </a:graphic>
        </xdr:graphicFrame>
      </mc:Choice>
      <mc:Fallback>
        <xdr:sp macro="" textlink="">
          <xdr:nvSpPr>
            <xdr:cNvPr id="0" name=""/>
            <xdr:cNvSpPr>
              <a:spLocks noTextEdit="1"/>
            </xdr:cNvSpPr>
          </xdr:nvSpPr>
          <xdr:spPr>
            <a:xfrm>
              <a:off x="10221406" y="5561497"/>
              <a:ext cx="761930" cy="13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420808</xdr:colOff>
      <xdr:row>15</xdr:row>
      <xdr:rowOff>170597</xdr:rowOff>
    </xdr:from>
    <xdr:to>
      <xdr:col>17</xdr:col>
      <xdr:colOff>550514</xdr:colOff>
      <xdr:row>25</xdr:row>
      <xdr:rowOff>90984</xdr:rowOff>
    </xdr:to>
    <mc:AlternateContent xmlns:mc="http://schemas.openxmlformats.org/markup-compatibility/2006">
      <mc:Choice xmlns:a14="http://schemas.microsoft.com/office/drawing/2010/main" Requires="a14">
        <xdr:graphicFrame macro="">
          <xdr:nvGraphicFramePr>
            <xdr:cNvPr id="23" name="Branch 4">
              <a:extLst>
                <a:ext uri="{FF2B5EF4-FFF2-40B4-BE49-F238E27FC236}">
                  <a16:creationId xmlns:a16="http://schemas.microsoft.com/office/drawing/2014/main" id="{160797DB-D58B-4E50-84E9-EB3718A195FF}"/>
                </a:ext>
              </a:extLst>
            </xdr:cNvPr>
            <xdr:cNvGraphicFramePr/>
          </xdr:nvGraphicFramePr>
          <xdr:xfrm>
            <a:off x="0" y="0"/>
            <a:ext cx="0" cy="0"/>
          </xdr:xfrm>
          <a:graphic>
            <a:graphicData uri="http://schemas.microsoft.com/office/drawing/2010/slicer">
              <sle:slicer xmlns:sle="http://schemas.microsoft.com/office/drawing/2010/slicer" name="Branch 4"/>
            </a:graphicData>
          </a:graphic>
        </xdr:graphicFrame>
      </mc:Choice>
      <mc:Fallback>
        <xdr:sp macro="" textlink="">
          <xdr:nvSpPr>
            <xdr:cNvPr id="0" name=""/>
            <xdr:cNvSpPr>
              <a:spLocks noTextEdit="1"/>
            </xdr:cNvSpPr>
          </xdr:nvSpPr>
          <xdr:spPr>
            <a:xfrm>
              <a:off x="10212508" y="2837597"/>
              <a:ext cx="739306" cy="1698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591403</xdr:colOff>
      <xdr:row>7</xdr:row>
      <xdr:rowOff>102358</xdr:rowOff>
    </xdr:from>
    <xdr:to>
      <xdr:col>16</xdr:col>
      <xdr:colOff>216090</xdr:colOff>
      <xdr:row>11</xdr:row>
      <xdr:rowOff>22746</xdr:rowOff>
    </xdr:to>
    <mc:AlternateContent xmlns:mc="http://schemas.openxmlformats.org/markup-compatibility/2006">
      <mc:Choice xmlns:a14="http://schemas.microsoft.com/office/drawing/2010/main" Requires="a14">
        <xdr:graphicFrame macro="">
          <xdr:nvGraphicFramePr>
            <xdr:cNvPr id="24" name="name of month 4">
              <a:extLst>
                <a:ext uri="{FF2B5EF4-FFF2-40B4-BE49-F238E27FC236}">
                  <a16:creationId xmlns:a16="http://schemas.microsoft.com/office/drawing/2014/main" id="{E3BE11A9-194D-4015-8444-0BF06209EA34}"/>
                </a:ext>
              </a:extLst>
            </xdr:cNvPr>
            <xdr:cNvGraphicFramePr/>
          </xdr:nvGraphicFramePr>
          <xdr:xfrm>
            <a:off x="0" y="0"/>
            <a:ext cx="0" cy="0"/>
          </xdr:xfrm>
          <a:graphic>
            <a:graphicData uri="http://schemas.microsoft.com/office/drawing/2010/slicer">
              <sle:slicer xmlns:sle="http://schemas.microsoft.com/office/drawing/2010/slicer" name="name of month 4"/>
            </a:graphicData>
          </a:graphic>
        </xdr:graphicFrame>
      </mc:Choice>
      <mc:Fallback>
        <xdr:sp macro="" textlink="">
          <xdr:nvSpPr>
            <xdr:cNvPr id="0" name=""/>
            <xdr:cNvSpPr>
              <a:spLocks noTextEdit="1"/>
            </xdr:cNvSpPr>
          </xdr:nvSpPr>
          <xdr:spPr>
            <a:xfrm>
              <a:off x="591403" y="1346958"/>
              <a:ext cx="9416387" cy="631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482600</xdr:colOff>
      <xdr:row>13</xdr:row>
      <xdr:rowOff>101599</xdr:rowOff>
    </xdr:from>
    <xdr:to>
      <xdr:col>11</xdr:col>
      <xdr:colOff>127000</xdr:colOff>
      <xdr:row>26</xdr:row>
      <xdr:rowOff>50800</xdr:rowOff>
    </xdr:to>
    <xdr:graphicFrame macro="">
      <xdr:nvGraphicFramePr>
        <xdr:cNvPr id="26" name="Chart 25">
          <a:extLst>
            <a:ext uri="{FF2B5EF4-FFF2-40B4-BE49-F238E27FC236}">
              <a16:creationId xmlns:a16="http://schemas.microsoft.com/office/drawing/2014/main" id="{41C5BA47-419A-439B-ACB2-0EC63ED73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203201</xdr:colOff>
      <xdr:row>13</xdr:row>
      <xdr:rowOff>69157</xdr:rowOff>
    </xdr:from>
    <xdr:to>
      <xdr:col>5</xdr:col>
      <xdr:colOff>228600</xdr:colOff>
      <xdr:row>26</xdr:row>
      <xdr:rowOff>114300</xdr:rowOff>
    </xdr:to>
    <xdr:graphicFrame macro="">
      <xdr:nvGraphicFramePr>
        <xdr:cNvPr id="28" name="Chart 27">
          <a:extLst>
            <a:ext uri="{FF2B5EF4-FFF2-40B4-BE49-F238E27FC236}">
              <a16:creationId xmlns:a16="http://schemas.microsoft.com/office/drawing/2014/main" id="{2BBEDFF1-2896-46FB-B243-E9B4BDCC1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203200</xdr:colOff>
      <xdr:row>13</xdr:row>
      <xdr:rowOff>88900</xdr:rowOff>
    </xdr:from>
    <xdr:to>
      <xdr:col>16</xdr:col>
      <xdr:colOff>393700</xdr:colOff>
      <xdr:row>26</xdr:row>
      <xdr:rowOff>106302</xdr:rowOff>
    </xdr:to>
    <xdr:graphicFrame macro="">
      <xdr:nvGraphicFramePr>
        <xdr:cNvPr id="30" name="Chart 29">
          <a:extLst>
            <a:ext uri="{FF2B5EF4-FFF2-40B4-BE49-F238E27FC236}">
              <a16:creationId xmlns:a16="http://schemas.microsoft.com/office/drawing/2014/main" id="{5B287671-9632-4557-B316-9C6746616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176391</xdr:colOff>
      <xdr:row>29</xdr:row>
      <xdr:rowOff>113371</xdr:rowOff>
    </xdr:from>
    <xdr:to>
      <xdr:col>7</xdr:col>
      <xdr:colOff>431800</xdr:colOff>
      <xdr:row>43</xdr:row>
      <xdr:rowOff>76201</xdr:rowOff>
    </xdr:to>
    <xdr:graphicFrame macro="">
      <xdr:nvGraphicFramePr>
        <xdr:cNvPr id="32" name="Chart 31">
          <a:extLst>
            <a:ext uri="{FF2B5EF4-FFF2-40B4-BE49-F238E27FC236}">
              <a16:creationId xmlns:a16="http://schemas.microsoft.com/office/drawing/2014/main" id="{C56342FE-2BF3-4B1D-A455-91779CDF1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157575</xdr:colOff>
      <xdr:row>29</xdr:row>
      <xdr:rowOff>101140</xdr:rowOff>
    </xdr:from>
    <xdr:to>
      <xdr:col>16</xdr:col>
      <xdr:colOff>215900</xdr:colOff>
      <xdr:row>43</xdr:row>
      <xdr:rowOff>133583</xdr:rowOff>
    </xdr:to>
    <xdr:graphicFrame macro="">
      <xdr:nvGraphicFramePr>
        <xdr:cNvPr id="33" name="Chart 32">
          <a:extLst>
            <a:ext uri="{FF2B5EF4-FFF2-40B4-BE49-F238E27FC236}">
              <a16:creationId xmlns:a16="http://schemas.microsoft.com/office/drawing/2014/main" id="{D812DC88-7460-4A4D-865B-678B1EDC4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601980</xdr:colOff>
      <xdr:row>0</xdr:row>
      <xdr:rowOff>0</xdr:rowOff>
    </xdr:from>
    <xdr:to>
      <xdr:col>13</xdr:col>
      <xdr:colOff>601980</xdr:colOff>
      <xdr:row>13</xdr:row>
      <xdr:rowOff>89535</xdr:rowOff>
    </xdr:to>
    <mc:AlternateContent xmlns:mc="http://schemas.openxmlformats.org/markup-compatibility/2006">
      <mc:Choice xmlns:a14="http://schemas.microsoft.com/office/drawing/2010/main" Requires="a14">
        <xdr:graphicFrame macro="">
          <xdr:nvGraphicFramePr>
            <xdr:cNvPr id="2" name="Position 3">
              <a:extLst>
                <a:ext uri="{FF2B5EF4-FFF2-40B4-BE49-F238E27FC236}">
                  <a16:creationId xmlns:a16="http://schemas.microsoft.com/office/drawing/2014/main" id="{BE35E014-2C49-43E5-98E8-1C9C76A80A89}"/>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dr:sp macro="" textlink="">
          <xdr:nvSpPr>
            <xdr:cNvPr id="0" name=""/>
            <xdr:cNvSpPr>
              <a:spLocks noTextEdit="1"/>
            </xdr:cNvSpPr>
          </xdr:nvSpPr>
          <xdr:spPr>
            <a:xfrm>
              <a:off x="9463758" y="0"/>
              <a:ext cx="1834444" cy="2413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0</xdr:row>
      <xdr:rowOff>0</xdr:rowOff>
    </xdr:from>
    <xdr:to>
      <xdr:col>17</xdr:col>
      <xdr:colOff>220980</xdr:colOff>
      <xdr:row>13</xdr:row>
      <xdr:rowOff>89535</xdr:rowOff>
    </xdr:to>
    <mc:AlternateContent xmlns:mc="http://schemas.openxmlformats.org/markup-compatibility/2006">
      <mc:Choice xmlns:a14="http://schemas.microsoft.com/office/drawing/2010/main" Requires="a14">
        <xdr:graphicFrame macro="">
          <xdr:nvGraphicFramePr>
            <xdr:cNvPr id="3" name="Branch 3">
              <a:extLst>
                <a:ext uri="{FF2B5EF4-FFF2-40B4-BE49-F238E27FC236}">
                  <a16:creationId xmlns:a16="http://schemas.microsoft.com/office/drawing/2014/main" id="{12A61531-0E87-4CFF-85BA-8B2B280BCC7C}"/>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dr:sp macro="" textlink="">
          <xdr:nvSpPr>
            <xdr:cNvPr id="0" name=""/>
            <xdr:cNvSpPr>
              <a:spLocks noTextEdit="1"/>
            </xdr:cNvSpPr>
          </xdr:nvSpPr>
          <xdr:spPr>
            <a:xfrm>
              <a:off x="11528684" y="0"/>
              <a:ext cx="1834444" cy="2413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449811</xdr:colOff>
      <xdr:row>0</xdr:row>
      <xdr:rowOff>0</xdr:rowOff>
    </xdr:from>
    <xdr:to>
      <xdr:col>20</xdr:col>
      <xdr:colOff>449811</xdr:colOff>
      <xdr:row>13</xdr:row>
      <xdr:rowOff>89535</xdr:rowOff>
    </xdr:to>
    <mc:AlternateContent xmlns:mc="http://schemas.openxmlformats.org/markup-compatibility/2006">
      <mc:Choice xmlns:a14="http://schemas.microsoft.com/office/drawing/2010/main" Requires="a14">
        <xdr:graphicFrame macro="">
          <xdr:nvGraphicFramePr>
            <xdr:cNvPr id="4" name="name of month 3">
              <a:extLst>
                <a:ext uri="{FF2B5EF4-FFF2-40B4-BE49-F238E27FC236}">
                  <a16:creationId xmlns:a16="http://schemas.microsoft.com/office/drawing/2014/main" id="{BA10DD36-B977-40AF-ACB8-AFBCED46FCC1}"/>
                </a:ext>
              </a:extLst>
            </xdr:cNvPr>
            <xdr:cNvGraphicFramePr/>
          </xdr:nvGraphicFramePr>
          <xdr:xfrm>
            <a:off x="0" y="0"/>
            <a:ext cx="0" cy="0"/>
          </xdr:xfrm>
          <a:graphic>
            <a:graphicData uri="http://schemas.microsoft.com/office/drawing/2010/slicer">
              <sle:slicer xmlns:sle="http://schemas.microsoft.com/office/drawing/2010/slicer" name="name of month 3"/>
            </a:graphicData>
          </a:graphic>
        </xdr:graphicFrame>
      </mc:Choice>
      <mc:Fallback>
        <xdr:sp macro="" textlink="">
          <xdr:nvSpPr>
            <xdr:cNvPr id="0" name=""/>
            <xdr:cNvSpPr>
              <a:spLocks noTextEdit="1"/>
            </xdr:cNvSpPr>
          </xdr:nvSpPr>
          <xdr:spPr>
            <a:xfrm>
              <a:off x="13591959" y="0"/>
              <a:ext cx="1834445" cy="2413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423334</xdr:colOff>
      <xdr:row>14</xdr:row>
      <xdr:rowOff>119475</xdr:rowOff>
    </xdr:from>
    <xdr:to>
      <xdr:col>18</xdr:col>
      <xdr:colOff>103482</xdr:colOff>
      <xdr:row>30</xdr:row>
      <xdr:rowOff>2823</xdr:rowOff>
    </xdr:to>
    <xdr:graphicFrame macro="">
      <xdr:nvGraphicFramePr>
        <xdr:cNvPr id="10" name="Chart 9">
          <a:extLst>
            <a:ext uri="{FF2B5EF4-FFF2-40B4-BE49-F238E27FC236}">
              <a16:creationId xmlns:a16="http://schemas.microsoft.com/office/drawing/2014/main" id="{7964E0F0-35F1-F3F1-135C-2ABC32EF0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225778</xdr:colOff>
      <xdr:row>14</xdr:row>
      <xdr:rowOff>119475</xdr:rowOff>
    </xdr:from>
    <xdr:to>
      <xdr:col>25</xdr:col>
      <xdr:colOff>517408</xdr:colOff>
      <xdr:row>30</xdr:row>
      <xdr:rowOff>2823</xdr:rowOff>
    </xdr:to>
    <xdr:graphicFrame macro="">
      <xdr:nvGraphicFramePr>
        <xdr:cNvPr id="11" name="Chart 10">
          <a:extLst>
            <a:ext uri="{FF2B5EF4-FFF2-40B4-BE49-F238E27FC236}">
              <a16:creationId xmlns:a16="http://schemas.microsoft.com/office/drawing/2014/main" id="{31E3C8A0-FE0E-33F5-1817-8A6E505E5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658518</xdr:colOff>
      <xdr:row>15</xdr:row>
      <xdr:rowOff>28221</xdr:rowOff>
    </xdr:from>
    <xdr:to>
      <xdr:col>10</xdr:col>
      <xdr:colOff>282221</xdr:colOff>
      <xdr:row>29</xdr:row>
      <xdr:rowOff>59266</xdr:rowOff>
    </xdr:to>
    <xdr:graphicFrame macro="">
      <xdr:nvGraphicFramePr>
        <xdr:cNvPr id="12" name="Chart 11">
          <a:extLst>
            <a:ext uri="{FF2B5EF4-FFF2-40B4-BE49-F238E27FC236}">
              <a16:creationId xmlns:a16="http://schemas.microsoft.com/office/drawing/2014/main" id="{E4BDBBC7-0F9A-6DEA-1BEB-03386460D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1025409</xdr:colOff>
      <xdr:row>30</xdr:row>
      <xdr:rowOff>72437</xdr:rowOff>
    </xdr:from>
    <xdr:to>
      <xdr:col>12</xdr:col>
      <xdr:colOff>94075</xdr:colOff>
      <xdr:row>45</xdr:row>
      <xdr:rowOff>134526</xdr:rowOff>
    </xdr:to>
    <xdr:graphicFrame macro="">
      <xdr:nvGraphicFramePr>
        <xdr:cNvPr id="13" name="Chart 12">
          <a:extLst>
            <a:ext uri="{FF2B5EF4-FFF2-40B4-BE49-F238E27FC236}">
              <a16:creationId xmlns:a16="http://schemas.microsoft.com/office/drawing/2014/main" id="{252BCFB6-3BEE-DEE8-FF52-6257E43DE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583259</xdr:colOff>
      <xdr:row>30</xdr:row>
      <xdr:rowOff>34807</xdr:rowOff>
    </xdr:from>
    <xdr:to>
      <xdr:col>20</xdr:col>
      <xdr:colOff>263407</xdr:colOff>
      <xdr:row>45</xdr:row>
      <xdr:rowOff>96896</xdr:rowOff>
    </xdr:to>
    <xdr:graphicFrame macro="">
      <xdr:nvGraphicFramePr>
        <xdr:cNvPr id="14" name="Chart 13">
          <a:extLst>
            <a:ext uri="{FF2B5EF4-FFF2-40B4-BE49-F238E27FC236}">
              <a16:creationId xmlns:a16="http://schemas.microsoft.com/office/drawing/2014/main" id="{E84CF5CF-E0D8-B9C5-CA91-AE07F27E4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 refreshedDate="46065.822464120371" createdVersion="7" refreshedVersion="7" minRefreshableVersion="3" recordCount="1000" xr:uid="{25E7B416-0140-42DB-8895-470BDB55D18E}">
  <cacheSource type="worksheet">
    <worksheetSource name="Table2"/>
  </cacheSource>
  <cacheFields count="16">
    <cacheField name="EmpID" numFmtId="0">
      <sharedItems containsSemiMixedTypes="0" containsString="0" containsNumber="1" containsInteger="1" minValue="50024" maxValue="59995"/>
    </cacheField>
    <cacheField name="Name" numFmtId="0">
      <sharedItems/>
    </cacheField>
    <cacheField name="ID No." numFmtId="0">
      <sharedItems/>
    </cacheField>
    <cacheField name="Department" numFmtId="0">
      <sharedItems count="10">
        <s v="Maintenance"/>
        <s v="Logistics"/>
        <s v="Manufacturing"/>
        <s v="Administration"/>
        <s v="Finance"/>
        <s v="Operations"/>
        <s v="Quality Assurance"/>
        <s v="Marketing"/>
        <s v="Human Resources"/>
        <s v="Training"/>
      </sharedItems>
    </cacheField>
    <cacheField name="Gender" numFmtId="0">
      <sharedItems count="2">
        <s v="Male"/>
        <s v="Female"/>
      </sharedItems>
    </cacheField>
    <cacheField name="DOB" numFmtId="14">
      <sharedItems containsSemiMixedTypes="0" containsNonDate="0" containsDate="1" containsString="0" minDate="1982-01-15T00:00:00" maxDate="2003-12-28T00:00:00"/>
    </cacheField>
    <cacheField name="Age" numFmtId="0">
      <sharedItems containsSemiMixedTypes="0" containsString="0" containsNumber="1" minValue="22.125" maxValue="44.075000000000003"/>
    </cacheField>
    <cacheField name="PayType" numFmtId="0">
      <sharedItems count="2">
        <s v="Part Time"/>
        <s v="Full Time"/>
      </sharedItems>
    </cacheField>
    <cacheField name="Position" numFmtId="0">
      <sharedItems count="3">
        <s v="Manager"/>
        <s v="Employee"/>
        <s v="Supervisor"/>
      </sharedItems>
    </cacheField>
    <cacheField name="Branch" numFmtId="0">
      <sharedItems count="5">
        <s v="Giza"/>
        <s v="Alexandria"/>
        <s v="Ismailia"/>
        <s v="Cairo"/>
        <s v="Sharqia"/>
      </sharedItems>
    </cacheField>
    <cacheField name="Place of Birth" numFmtId="0">
      <sharedItems/>
    </cacheField>
    <cacheField name="Hire date" numFmtId="14">
      <sharedItems containsSemiMixedTypes="0" containsNonDate="0" containsDate="1" containsString="0" minDate="2022-06-12T00:00:00" maxDate="2025-03-08T00:00:00"/>
    </cacheField>
    <cacheField name="Years no." numFmtId="0">
      <sharedItems containsSemiMixedTypes="0" containsString="0" containsNumber="1" minValue="0.93055555555555558" maxValue="3.6666666666666665"/>
    </cacheField>
    <cacheField name="Salary" numFmtId="0">
      <sharedItems containsSemiMixedTypes="0" containsString="0" containsNumber="1" containsInteger="1" minValue="3006" maxValue="29992"/>
    </cacheField>
    <cacheField name="name of month" numFmtId="0">
      <sharedItems count="12">
        <s v="يونيو"/>
        <s v="يوليو"/>
        <s v="أغسطس"/>
        <s v="سبتمبر"/>
        <s v="أكتوبر"/>
        <s v="نوفمبر"/>
        <s v="ديسمبر"/>
        <s v="يناير"/>
        <s v="فبراير"/>
        <s v="مارس"/>
        <s v="أبريل"/>
        <s v="مايو"/>
      </sharedItems>
    </cacheField>
    <cacheField name="RATING" numFmtId="0">
      <sharedItems count="2">
        <s v="راتب طبيعي"/>
        <s v="راتب عالي"/>
      </sharedItems>
    </cacheField>
  </cacheFields>
  <extLst>
    <ext xmlns:x14="http://schemas.microsoft.com/office/spreadsheetml/2009/9/main" uri="{725AE2AE-9491-48be-B2B4-4EB974FC3084}">
      <x14:pivotCacheDefinition pivotCacheId="1073261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2578"/>
    <s v="Emp 1"/>
    <s v="28401260170832"/>
    <x v="0"/>
    <x v="0"/>
    <d v="1984-01-26T00:00:00"/>
    <n v="42.044444444444444"/>
    <x v="0"/>
    <x v="0"/>
    <x v="0"/>
    <s v="Cairo"/>
    <d v="2022-06-12T00:00:00"/>
    <n v="3.6666666666666665"/>
    <n v="21194"/>
    <x v="0"/>
    <x v="0"/>
  </r>
  <r>
    <n v="50880"/>
    <s v="Emp 2"/>
    <s v="29211241364134"/>
    <x v="1"/>
    <x v="0"/>
    <d v="1992-11-24T00:00:00"/>
    <n v="33.216666666666669"/>
    <x v="0"/>
    <x v="1"/>
    <x v="1"/>
    <s v="Sharqia"/>
    <d v="2022-06-13T00:00:00"/>
    <n v="3.6638888888888888"/>
    <n v="5008"/>
    <x v="0"/>
    <x v="1"/>
  </r>
  <r>
    <n v="57337"/>
    <s v="Emp 3"/>
    <s v="30010092190635"/>
    <x v="2"/>
    <x v="0"/>
    <d v="2000-10-09T00:00:00"/>
    <n v="25.341666666666665"/>
    <x v="0"/>
    <x v="1"/>
    <x v="2"/>
    <s v="Giza"/>
    <d v="2022-06-14T00:00:00"/>
    <n v="3.661111111111111"/>
    <n v="3009"/>
    <x v="0"/>
    <x v="1"/>
  </r>
  <r>
    <n v="55115"/>
    <s v="Emp 4"/>
    <s v="29606191791181"/>
    <x v="3"/>
    <x v="1"/>
    <d v="1996-06-19T00:00:00"/>
    <n v="29.647222222222222"/>
    <x v="1"/>
    <x v="1"/>
    <x v="0"/>
    <s v="Monufia"/>
    <d v="2022-06-15T00:00:00"/>
    <n v="3.6583333333333332"/>
    <n v="5313"/>
    <x v="0"/>
    <x v="1"/>
  </r>
  <r>
    <n v="59675"/>
    <s v="Emp 5"/>
    <s v="29309210163576"/>
    <x v="4"/>
    <x v="0"/>
    <d v="1993-09-21T00:00:00"/>
    <n v="32.391666666666666"/>
    <x v="0"/>
    <x v="1"/>
    <x v="2"/>
    <s v="Cairo"/>
    <d v="2022-06-16T00:00:00"/>
    <n v="3.6555555555555554"/>
    <n v="6194"/>
    <x v="0"/>
    <x v="0"/>
  </r>
  <r>
    <n v="52325"/>
    <s v="Emp 6"/>
    <s v="28511252167378"/>
    <x v="5"/>
    <x v="0"/>
    <d v="1985-11-25T00:00:00"/>
    <n v="40.213888888888889"/>
    <x v="1"/>
    <x v="1"/>
    <x v="1"/>
    <s v="Giza"/>
    <d v="2022-06-17T00:00:00"/>
    <n v="3.6527777777777777"/>
    <n v="4027"/>
    <x v="0"/>
    <x v="1"/>
  </r>
  <r>
    <n v="57592"/>
    <s v="Emp 7"/>
    <s v="28308071379248"/>
    <x v="0"/>
    <x v="1"/>
    <d v="1983-08-07T00:00:00"/>
    <n v="42.513888888888886"/>
    <x v="0"/>
    <x v="2"/>
    <x v="2"/>
    <s v="Sharqia"/>
    <d v="2022-06-18T00:00:00"/>
    <n v="3.65"/>
    <n v="12074"/>
    <x v="0"/>
    <x v="0"/>
  </r>
  <r>
    <n v="55955"/>
    <s v="Emp 8"/>
    <s v="28903060171174"/>
    <x v="2"/>
    <x v="0"/>
    <d v="1989-03-06T00:00:00"/>
    <n v="36.93333333333333"/>
    <x v="1"/>
    <x v="2"/>
    <x v="3"/>
    <s v="Cairo"/>
    <d v="2022-06-19T00:00:00"/>
    <n v="3.6472222222222221"/>
    <n v="10027"/>
    <x v="0"/>
    <x v="0"/>
  </r>
  <r>
    <n v="50042"/>
    <s v="Emp 9"/>
    <s v="28808120183762"/>
    <x v="0"/>
    <x v="1"/>
    <d v="1988-08-12T00:00:00"/>
    <n v="37.5"/>
    <x v="1"/>
    <x v="1"/>
    <x v="1"/>
    <s v="Cairo"/>
    <d v="2022-06-20T00:00:00"/>
    <n v="3.6444444444444444"/>
    <n v="6858"/>
    <x v="0"/>
    <x v="0"/>
  </r>
  <r>
    <n v="57941"/>
    <s v="Emp 10"/>
    <s v="30303060168572"/>
    <x v="6"/>
    <x v="0"/>
    <d v="2003-03-06T00:00:00"/>
    <n v="22.933333333333334"/>
    <x v="1"/>
    <x v="1"/>
    <x v="3"/>
    <s v="Cairo"/>
    <d v="2022-06-21T00:00:00"/>
    <n v="3.6416666666666666"/>
    <n v="4444"/>
    <x v="0"/>
    <x v="1"/>
  </r>
  <r>
    <n v="54639"/>
    <s v="Emp 11"/>
    <s v="28202240173227"/>
    <x v="6"/>
    <x v="1"/>
    <d v="1982-02-24T00:00:00"/>
    <n v="43.966666666666669"/>
    <x v="1"/>
    <x v="0"/>
    <x v="1"/>
    <s v="Cairo"/>
    <d v="2022-06-22T00:00:00"/>
    <n v="3.6388888888888888"/>
    <n v="29222"/>
    <x v="0"/>
    <x v="0"/>
  </r>
  <r>
    <n v="55504"/>
    <s v="Emp 12"/>
    <s v="30305030155122"/>
    <x v="2"/>
    <x v="1"/>
    <d v="2003-05-03T00:00:00"/>
    <n v="22.774999999999999"/>
    <x v="0"/>
    <x v="2"/>
    <x v="2"/>
    <s v="Cairo"/>
    <d v="2022-06-23T00:00:00"/>
    <n v="3.6361111111111111"/>
    <n v="12169"/>
    <x v="0"/>
    <x v="0"/>
  </r>
  <r>
    <n v="52518"/>
    <s v="Emp 13"/>
    <s v="28612070158122"/>
    <x v="0"/>
    <x v="1"/>
    <d v="1986-12-07T00:00:00"/>
    <n v="39.180555555555557"/>
    <x v="0"/>
    <x v="2"/>
    <x v="0"/>
    <s v="Cairo"/>
    <d v="2022-06-24T00:00:00"/>
    <n v="3.6333333333333333"/>
    <n v="14015"/>
    <x v="0"/>
    <x v="0"/>
  </r>
  <r>
    <n v="54193"/>
    <s v="Emp 14"/>
    <s v="29303120161011"/>
    <x v="0"/>
    <x v="0"/>
    <d v="1993-03-12T00:00:00"/>
    <n v="32.916666666666664"/>
    <x v="1"/>
    <x v="1"/>
    <x v="3"/>
    <s v="Cairo"/>
    <d v="2022-06-25T00:00:00"/>
    <n v="3.6305555555555555"/>
    <n v="5951"/>
    <x v="0"/>
    <x v="1"/>
  </r>
  <r>
    <n v="50028"/>
    <s v="Emp 15"/>
    <s v="29211090169729"/>
    <x v="0"/>
    <x v="1"/>
    <d v="1992-11-09T00:00:00"/>
    <n v="33.258333333333333"/>
    <x v="0"/>
    <x v="1"/>
    <x v="1"/>
    <s v="Cairo"/>
    <d v="2022-06-26T00:00:00"/>
    <n v="3.6277777777777778"/>
    <n v="3673"/>
    <x v="0"/>
    <x v="1"/>
  </r>
  <r>
    <n v="53437"/>
    <s v="Emp 16"/>
    <s v="29203190155848"/>
    <x v="7"/>
    <x v="1"/>
    <d v="1992-03-19T00:00:00"/>
    <n v="33.897222222222226"/>
    <x v="0"/>
    <x v="1"/>
    <x v="0"/>
    <s v="Cairo"/>
    <d v="2022-06-27T00:00:00"/>
    <n v="3.625"/>
    <n v="4265"/>
    <x v="0"/>
    <x v="1"/>
  </r>
  <r>
    <n v="59081"/>
    <s v="Emp 17"/>
    <s v="30111090181931"/>
    <x v="4"/>
    <x v="0"/>
    <d v="2001-11-09T00:00:00"/>
    <n v="24.258333333333333"/>
    <x v="0"/>
    <x v="0"/>
    <x v="0"/>
    <s v="Cairo"/>
    <d v="2022-06-28T00:00:00"/>
    <n v="3.6222222222222222"/>
    <n v="24474"/>
    <x v="0"/>
    <x v="0"/>
  </r>
  <r>
    <n v="50162"/>
    <s v="Emp 18"/>
    <s v="28907160185937"/>
    <x v="0"/>
    <x v="0"/>
    <d v="1989-07-16T00:00:00"/>
    <n v="36.572222222222223"/>
    <x v="1"/>
    <x v="1"/>
    <x v="4"/>
    <s v="Cairo"/>
    <d v="2022-06-29T00:00:00"/>
    <n v="3.6194444444444445"/>
    <n v="4561"/>
    <x v="0"/>
    <x v="1"/>
  </r>
  <r>
    <n v="52806"/>
    <s v="Emp 19"/>
    <s v="28601240154257"/>
    <x v="5"/>
    <x v="0"/>
    <d v="1986-01-24T00:00:00"/>
    <n v="40.049999999999997"/>
    <x v="0"/>
    <x v="0"/>
    <x v="0"/>
    <s v="Cairo"/>
    <d v="2022-06-30T00:00:00"/>
    <n v="3.6166666666666667"/>
    <n v="22799"/>
    <x v="0"/>
    <x v="0"/>
  </r>
  <r>
    <n v="58595"/>
    <s v="Emp 20"/>
    <s v="29205240170277"/>
    <x v="7"/>
    <x v="0"/>
    <d v="1992-05-24T00:00:00"/>
    <n v="33.716666666666669"/>
    <x v="0"/>
    <x v="2"/>
    <x v="2"/>
    <s v="Cairo"/>
    <d v="2022-07-01T00:00:00"/>
    <n v="3.6138888888888889"/>
    <n v="11896"/>
    <x v="1"/>
    <x v="0"/>
  </r>
  <r>
    <n v="50801"/>
    <s v="Emp 21"/>
    <s v="30301070171536"/>
    <x v="6"/>
    <x v="0"/>
    <d v="2003-01-07T00:00:00"/>
    <n v="23.097222222222221"/>
    <x v="0"/>
    <x v="1"/>
    <x v="4"/>
    <s v="Cairo"/>
    <d v="2022-07-02T00:00:00"/>
    <n v="3.6111111111111112"/>
    <n v="3906"/>
    <x v="1"/>
    <x v="1"/>
  </r>
  <r>
    <n v="51831"/>
    <s v="Emp 22"/>
    <s v="30302231369053"/>
    <x v="7"/>
    <x v="0"/>
    <d v="2003-02-23T00:00:00"/>
    <n v="22.969444444444445"/>
    <x v="1"/>
    <x v="1"/>
    <x v="0"/>
    <s v="Sharqia"/>
    <d v="2022-07-03T00:00:00"/>
    <n v="3.6083333333333334"/>
    <n v="3772"/>
    <x v="1"/>
    <x v="1"/>
  </r>
  <r>
    <n v="59021"/>
    <s v="Emp 23"/>
    <s v="30306261981036"/>
    <x v="7"/>
    <x v="0"/>
    <d v="2003-06-26T00:00:00"/>
    <n v="22.627777777777776"/>
    <x v="1"/>
    <x v="1"/>
    <x v="3"/>
    <s v="Ismailia"/>
    <d v="2022-07-04T00:00:00"/>
    <n v="3.6055555555555556"/>
    <n v="4089"/>
    <x v="1"/>
    <x v="1"/>
  </r>
  <r>
    <n v="53625"/>
    <s v="Emp 24"/>
    <s v="30301191986834"/>
    <x v="0"/>
    <x v="0"/>
    <d v="2003-01-19T00:00:00"/>
    <n v="23.06388888888889"/>
    <x v="0"/>
    <x v="2"/>
    <x v="0"/>
    <s v="Ismailia"/>
    <d v="2022-07-05T00:00:00"/>
    <n v="3.6027777777777779"/>
    <n v="13991"/>
    <x v="1"/>
    <x v="0"/>
  </r>
  <r>
    <n v="53141"/>
    <s v="Emp 25"/>
    <s v="30306181356576"/>
    <x v="7"/>
    <x v="0"/>
    <d v="2003-06-18T00:00:00"/>
    <n v="22.65"/>
    <x v="0"/>
    <x v="0"/>
    <x v="1"/>
    <s v="Sharqia"/>
    <d v="2022-07-06T00:00:00"/>
    <n v="3.6"/>
    <n v="25771"/>
    <x v="1"/>
    <x v="0"/>
  </r>
  <r>
    <n v="59969"/>
    <s v="Emp 26"/>
    <s v="30311110283875"/>
    <x v="0"/>
    <x v="0"/>
    <d v="2003-11-11T00:00:00"/>
    <n v="22.252777777777776"/>
    <x v="1"/>
    <x v="1"/>
    <x v="2"/>
    <s v="Alexandria"/>
    <d v="2022-07-07T00:00:00"/>
    <n v="3.5972222222222223"/>
    <n v="6348"/>
    <x v="1"/>
    <x v="0"/>
  </r>
  <r>
    <n v="50719"/>
    <s v="Emp 27"/>
    <s v="30311270176434"/>
    <x v="3"/>
    <x v="0"/>
    <d v="2003-11-27T00:00:00"/>
    <n v="22.208333333333332"/>
    <x v="1"/>
    <x v="2"/>
    <x v="3"/>
    <s v="Cairo"/>
    <d v="2022-07-08T00:00:00"/>
    <n v="3.5944444444444446"/>
    <n v="14448"/>
    <x v="1"/>
    <x v="0"/>
  </r>
  <r>
    <n v="51455"/>
    <s v="Emp 28"/>
    <s v="30302130167692"/>
    <x v="4"/>
    <x v="0"/>
    <d v="2003-02-13T00:00:00"/>
    <n v="22.997222222222224"/>
    <x v="1"/>
    <x v="1"/>
    <x v="2"/>
    <s v="Cairo"/>
    <d v="2022-07-09T00:00:00"/>
    <n v="3.5916666666666668"/>
    <n v="3006"/>
    <x v="1"/>
    <x v="1"/>
  </r>
  <r>
    <n v="54793"/>
    <s v="Emp 29"/>
    <s v="30311070185514"/>
    <x v="7"/>
    <x v="0"/>
    <d v="2003-11-07T00:00:00"/>
    <n v="22.263888888888889"/>
    <x v="0"/>
    <x v="2"/>
    <x v="1"/>
    <s v="Cairo"/>
    <d v="2022-07-10T00:00:00"/>
    <n v="3.588888888888889"/>
    <n v="13671"/>
    <x v="1"/>
    <x v="0"/>
  </r>
  <r>
    <n v="54525"/>
    <s v="Emp 30"/>
    <s v="30303170177734"/>
    <x v="8"/>
    <x v="0"/>
    <d v="2003-03-17T00:00:00"/>
    <n v="22.902777777777779"/>
    <x v="0"/>
    <x v="1"/>
    <x v="4"/>
    <s v="Cairo"/>
    <d v="2022-07-11T00:00:00"/>
    <n v="3.5861111111111112"/>
    <n v="5407"/>
    <x v="1"/>
    <x v="1"/>
  </r>
  <r>
    <n v="52847"/>
    <s v="Emp 31"/>
    <s v="30309260184719"/>
    <x v="8"/>
    <x v="0"/>
    <d v="2003-09-26T00:00:00"/>
    <n v="22.377777777777776"/>
    <x v="0"/>
    <x v="1"/>
    <x v="3"/>
    <s v="Cairo"/>
    <d v="2022-07-12T00:00:00"/>
    <n v="3.5833333333333335"/>
    <n v="4353"/>
    <x v="1"/>
    <x v="1"/>
  </r>
  <r>
    <n v="56798"/>
    <s v="Emp 32"/>
    <s v="30305210153537"/>
    <x v="3"/>
    <x v="0"/>
    <d v="2003-05-21T00:00:00"/>
    <n v="22.725000000000001"/>
    <x v="0"/>
    <x v="1"/>
    <x v="0"/>
    <s v="Cairo"/>
    <d v="2022-07-13T00:00:00"/>
    <n v="3.5805555555555557"/>
    <n v="4735"/>
    <x v="1"/>
    <x v="1"/>
  </r>
  <r>
    <n v="59765"/>
    <s v="Emp 33"/>
    <s v="30307190162477"/>
    <x v="4"/>
    <x v="0"/>
    <d v="2003-07-19T00:00:00"/>
    <n v="22.56388888888889"/>
    <x v="0"/>
    <x v="1"/>
    <x v="4"/>
    <s v="Cairo"/>
    <d v="2022-07-14T00:00:00"/>
    <n v="3.5777777777777779"/>
    <n v="3820"/>
    <x v="1"/>
    <x v="1"/>
  </r>
  <r>
    <n v="58108"/>
    <s v="Emp 34"/>
    <s v="30301040157337"/>
    <x v="8"/>
    <x v="0"/>
    <d v="2003-01-04T00:00:00"/>
    <n v="23.105555555555554"/>
    <x v="0"/>
    <x v="1"/>
    <x v="4"/>
    <s v="Cairo"/>
    <d v="2022-07-15T00:00:00"/>
    <n v="3.5750000000000002"/>
    <n v="5609"/>
    <x v="1"/>
    <x v="1"/>
  </r>
  <r>
    <n v="50960"/>
    <s v="Emp 35"/>
    <s v="30302160170034"/>
    <x v="0"/>
    <x v="0"/>
    <d v="2003-02-16T00:00:00"/>
    <n v="22.988888888888887"/>
    <x v="1"/>
    <x v="0"/>
    <x v="3"/>
    <s v="Cairo"/>
    <d v="2022-07-16T00:00:00"/>
    <n v="3.5722222222222224"/>
    <n v="29731"/>
    <x v="1"/>
    <x v="0"/>
  </r>
  <r>
    <n v="59038"/>
    <s v="Emp 36"/>
    <s v="30301110165936"/>
    <x v="2"/>
    <x v="0"/>
    <d v="2003-01-11T00:00:00"/>
    <n v="23.086111111111112"/>
    <x v="0"/>
    <x v="1"/>
    <x v="4"/>
    <s v="Cairo"/>
    <d v="2022-07-17T00:00:00"/>
    <n v="3.5694444444444446"/>
    <n v="5261"/>
    <x v="1"/>
    <x v="1"/>
  </r>
  <r>
    <n v="54873"/>
    <s v="Emp 37"/>
    <s v="28309180174794"/>
    <x v="2"/>
    <x v="0"/>
    <d v="1983-09-18T00:00:00"/>
    <n v="42.4"/>
    <x v="1"/>
    <x v="1"/>
    <x v="4"/>
    <s v="Cairo"/>
    <d v="2022-07-18T00:00:00"/>
    <n v="3.5666666666666669"/>
    <n v="6004"/>
    <x v="1"/>
    <x v="0"/>
  </r>
  <r>
    <n v="55913"/>
    <s v="Emp 38"/>
    <s v="29412210179157"/>
    <x v="8"/>
    <x v="0"/>
    <d v="1994-12-21T00:00:00"/>
    <n v="31.141666666666666"/>
    <x v="1"/>
    <x v="2"/>
    <x v="1"/>
    <s v="Cairo"/>
    <d v="2022-07-19T00:00:00"/>
    <n v="3.5638888888888891"/>
    <n v="13635"/>
    <x v="1"/>
    <x v="0"/>
  </r>
  <r>
    <n v="53199"/>
    <s v="Emp 39"/>
    <s v="28506260178277"/>
    <x v="6"/>
    <x v="0"/>
    <d v="1985-06-26T00:00:00"/>
    <n v="40.62777777777778"/>
    <x v="0"/>
    <x v="1"/>
    <x v="0"/>
    <s v="Cairo"/>
    <d v="2022-07-20T00:00:00"/>
    <n v="3.5611111111111109"/>
    <n v="4293"/>
    <x v="1"/>
    <x v="1"/>
  </r>
  <r>
    <n v="57806"/>
    <s v="Emp 40"/>
    <s v="29105121756033"/>
    <x v="5"/>
    <x v="0"/>
    <d v="1991-05-12T00:00:00"/>
    <n v="34.75"/>
    <x v="0"/>
    <x v="1"/>
    <x v="4"/>
    <s v="Monufia"/>
    <d v="2022-07-21T00:00:00"/>
    <n v="3.5583333333333331"/>
    <n v="6381"/>
    <x v="1"/>
    <x v="0"/>
  </r>
  <r>
    <n v="59070"/>
    <s v="Emp 41"/>
    <s v="29904050278178"/>
    <x v="4"/>
    <x v="0"/>
    <d v="1999-04-05T00:00:00"/>
    <n v="26.852777777777778"/>
    <x v="0"/>
    <x v="2"/>
    <x v="2"/>
    <s v="Alexandria"/>
    <d v="2022-07-22T00:00:00"/>
    <n v="3.5555555555555554"/>
    <n v="11106"/>
    <x v="1"/>
    <x v="0"/>
  </r>
  <r>
    <n v="56684"/>
    <s v="Emp 42"/>
    <s v="29403282162257"/>
    <x v="6"/>
    <x v="0"/>
    <d v="1994-03-28T00:00:00"/>
    <n v="31.872222222222224"/>
    <x v="0"/>
    <x v="0"/>
    <x v="1"/>
    <s v="Giza"/>
    <d v="2022-07-23T00:00:00"/>
    <n v="3.5527777777777776"/>
    <n v="25288"/>
    <x v="1"/>
    <x v="0"/>
  </r>
  <r>
    <n v="50716"/>
    <s v="Emp 43"/>
    <s v="30309160277836"/>
    <x v="6"/>
    <x v="0"/>
    <d v="2003-09-16T00:00:00"/>
    <n v="22.405555555555555"/>
    <x v="1"/>
    <x v="1"/>
    <x v="2"/>
    <s v="Alexandria"/>
    <d v="2022-07-24T00:00:00"/>
    <n v="3.55"/>
    <n v="4687"/>
    <x v="1"/>
    <x v="1"/>
  </r>
  <r>
    <n v="55721"/>
    <s v="Emp 44"/>
    <s v="29803040264531"/>
    <x v="0"/>
    <x v="0"/>
    <d v="1998-03-04T00:00:00"/>
    <n v="27.93888888888889"/>
    <x v="0"/>
    <x v="0"/>
    <x v="4"/>
    <s v="Alexandria"/>
    <d v="2022-07-25T00:00:00"/>
    <n v="3.5472222222222221"/>
    <n v="21483"/>
    <x v="1"/>
    <x v="0"/>
  </r>
  <r>
    <n v="51952"/>
    <s v="Emp 45"/>
    <s v="28201271755191"/>
    <x v="0"/>
    <x v="0"/>
    <d v="1982-01-27T00:00:00"/>
    <n v="44.041666666666664"/>
    <x v="1"/>
    <x v="0"/>
    <x v="1"/>
    <s v="Monufia"/>
    <d v="2022-07-26T00:00:00"/>
    <n v="3.5444444444444443"/>
    <n v="16425"/>
    <x v="1"/>
    <x v="0"/>
  </r>
  <r>
    <n v="53841"/>
    <s v="Emp 46"/>
    <s v="29010170158666"/>
    <x v="0"/>
    <x v="1"/>
    <d v="1990-10-17T00:00:00"/>
    <n v="35.319444444444443"/>
    <x v="0"/>
    <x v="0"/>
    <x v="1"/>
    <s v="Cairo"/>
    <d v="2022-07-27T00:00:00"/>
    <n v="3.5416666666666665"/>
    <n v="27850"/>
    <x v="1"/>
    <x v="0"/>
  </r>
  <r>
    <n v="58109"/>
    <s v="Emp 47"/>
    <s v="29109041964255"/>
    <x v="0"/>
    <x v="0"/>
    <d v="1991-09-04T00:00:00"/>
    <n v="34.43888888888889"/>
    <x v="1"/>
    <x v="0"/>
    <x v="1"/>
    <s v="Ismailia"/>
    <d v="2022-07-28T00:00:00"/>
    <n v="3.5388888888888888"/>
    <n v="18274"/>
    <x v="1"/>
    <x v="0"/>
  </r>
  <r>
    <n v="50961"/>
    <s v="Emp 48"/>
    <s v="29510160153191"/>
    <x v="0"/>
    <x v="0"/>
    <d v="1995-10-16T00:00:00"/>
    <n v="30.322222222222223"/>
    <x v="0"/>
    <x v="1"/>
    <x v="2"/>
    <s v="Cairo"/>
    <d v="2022-07-29T00:00:00"/>
    <n v="3.536111111111111"/>
    <n v="5505"/>
    <x v="1"/>
    <x v="1"/>
  </r>
  <r>
    <n v="55443"/>
    <s v="Emp 49"/>
    <s v="29802271963369"/>
    <x v="0"/>
    <x v="1"/>
    <d v="1998-02-27T00:00:00"/>
    <n v="27.958333333333332"/>
    <x v="1"/>
    <x v="0"/>
    <x v="3"/>
    <s v="Ismailia"/>
    <d v="2022-07-30T00:00:00"/>
    <n v="3.5333333333333332"/>
    <n v="20311"/>
    <x v="1"/>
    <x v="0"/>
  </r>
  <r>
    <n v="54954"/>
    <s v="Emp 50"/>
    <s v="30212250163363"/>
    <x v="0"/>
    <x v="1"/>
    <d v="2002-12-25T00:00:00"/>
    <n v="23.130555555555556"/>
    <x v="1"/>
    <x v="2"/>
    <x v="1"/>
    <s v="Cairo"/>
    <d v="2022-07-31T00:00:00"/>
    <n v="3.5333333333333332"/>
    <n v="10967"/>
    <x v="1"/>
    <x v="0"/>
  </r>
  <r>
    <n v="53953"/>
    <s v="Emp 51"/>
    <s v="28406220157279"/>
    <x v="4"/>
    <x v="0"/>
    <d v="1984-06-22T00:00:00"/>
    <n v="41.638888888888886"/>
    <x v="0"/>
    <x v="1"/>
    <x v="1"/>
    <s v="Cairo"/>
    <d v="2022-08-01T00:00:00"/>
    <n v="3.5305555555555554"/>
    <n v="5036"/>
    <x v="2"/>
    <x v="1"/>
  </r>
  <r>
    <n v="55533"/>
    <s v="Emp 52"/>
    <s v="30104030167327"/>
    <x v="4"/>
    <x v="1"/>
    <d v="2001-04-03T00:00:00"/>
    <n v="24.858333333333334"/>
    <x v="0"/>
    <x v="0"/>
    <x v="0"/>
    <s v="Cairo"/>
    <d v="2022-08-02T00:00:00"/>
    <n v="3.5277777777777777"/>
    <n v="19257"/>
    <x v="2"/>
    <x v="0"/>
  </r>
  <r>
    <n v="57179"/>
    <s v="Emp 53"/>
    <s v="30206230188597"/>
    <x v="2"/>
    <x v="0"/>
    <d v="2002-06-23T00:00:00"/>
    <n v="23.636111111111113"/>
    <x v="1"/>
    <x v="1"/>
    <x v="1"/>
    <s v="Cairo"/>
    <d v="2022-08-03T00:00:00"/>
    <n v="3.5249999999999999"/>
    <n v="3384"/>
    <x v="2"/>
    <x v="1"/>
  </r>
  <r>
    <n v="58756"/>
    <s v="Emp 54"/>
    <s v="29606250186194"/>
    <x v="4"/>
    <x v="0"/>
    <d v="1996-06-25T00:00:00"/>
    <n v="29.630555555555556"/>
    <x v="1"/>
    <x v="1"/>
    <x v="3"/>
    <s v="Cairo"/>
    <d v="2022-08-04T00:00:00"/>
    <n v="3.5222222222222221"/>
    <n v="6381"/>
    <x v="2"/>
    <x v="0"/>
  </r>
  <r>
    <n v="58050"/>
    <s v="Emp 55"/>
    <s v="29909130154266"/>
    <x v="9"/>
    <x v="1"/>
    <d v="1999-09-13T00:00:00"/>
    <n v="26.413888888888888"/>
    <x v="1"/>
    <x v="1"/>
    <x v="2"/>
    <s v="Cairo"/>
    <d v="2022-08-05T00:00:00"/>
    <n v="3.5194444444444444"/>
    <n v="5947"/>
    <x v="2"/>
    <x v="1"/>
  </r>
  <r>
    <n v="51875"/>
    <s v="Emp 56"/>
    <s v="28711160173411"/>
    <x v="5"/>
    <x v="0"/>
    <d v="1987-11-16T00:00:00"/>
    <n v="38.238888888888887"/>
    <x v="0"/>
    <x v="2"/>
    <x v="1"/>
    <s v="Cairo"/>
    <d v="2022-08-06T00:00:00"/>
    <n v="3.5166666666666666"/>
    <n v="14748"/>
    <x v="2"/>
    <x v="0"/>
  </r>
  <r>
    <n v="52862"/>
    <s v="Emp 57"/>
    <s v="30309060160591"/>
    <x v="6"/>
    <x v="0"/>
    <d v="2003-09-06T00:00:00"/>
    <n v="22.433333333333334"/>
    <x v="1"/>
    <x v="1"/>
    <x v="2"/>
    <s v="Cairo"/>
    <d v="2022-08-07T00:00:00"/>
    <n v="3.5138888888888888"/>
    <n v="3117"/>
    <x v="2"/>
    <x v="1"/>
  </r>
  <r>
    <n v="56665"/>
    <s v="Emp 58"/>
    <s v="30302040154485"/>
    <x v="0"/>
    <x v="1"/>
    <d v="2003-02-04T00:00:00"/>
    <n v="23.022222222222222"/>
    <x v="0"/>
    <x v="1"/>
    <x v="1"/>
    <s v="Cairo"/>
    <d v="2022-08-08T00:00:00"/>
    <n v="3.5111111111111111"/>
    <n v="3285"/>
    <x v="2"/>
    <x v="1"/>
  </r>
  <r>
    <n v="55289"/>
    <s v="Emp 59"/>
    <s v="30310260165373"/>
    <x v="6"/>
    <x v="0"/>
    <d v="2003-10-26T00:00:00"/>
    <n v="22.294444444444444"/>
    <x v="0"/>
    <x v="0"/>
    <x v="3"/>
    <s v="Cairo"/>
    <d v="2022-08-09T00:00:00"/>
    <n v="3.5083333333333333"/>
    <n v="23688"/>
    <x v="2"/>
    <x v="0"/>
  </r>
  <r>
    <n v="53633"/>
    <s v="Emp 60"/>
    <s v="30303180175975"/>
    <x v="3"/>
    <x v="0"/>
    <d v="2003-03-18T00:00:00"/>
    <n v="22.9"/>
    <x v="0"/>
    <x v="0"/>
    <x v="2"/>
    <s v="Cairo"/>
    <d v="2022-08-10T00:00:00"/>
    <n v="3.5055555555555555"/>
    <n v="28150"/>
    <x v="2"/>
    <x v="0"/>
  </r>
  <r>
    <n v="51795"/>
    <s v="Emp 61"/>
    <s v="30309070190286"/>
    <x v="0"/>
    <x v="1"/>
    <d v="2003-09-07T00:00:00"/>
    <n v="22.430555555555557"/>
    <x v="0"/>
    <x v="2"/>
    <x v="0"/>
    <s v="Cairo"/>
    <d v="2022-08-11T00:00:00"/>
    <n v="3.5027777777777778"/>
    <n v="11623"/>
    <x v="2"/>
    <x v="0"/>
  </r>
  <r>
    <n v="59518"/>
    <s v="Emp 62"/>
    <s v="30304030153026"/>
    <x v="0"/>
    <x v="1"/>
    <d v="2003-04-03T00:00:00"/>
    <n v="22.858333333333334"/>
    <x v="1"/>
    <x v="1"/>
    <x v="4"/>
    <s v="Cairo"/>
    <d v="2022-08-12T00:00:00"/>
    <n v="3.5"/>
    <n v="5556"/>
    <x v="2"/>
    <x v="1"/>
  </r>
  <r>
    <n v="56869"/>
    <s v="Emp 63"/>
    <s v="30304110162669"/>
    <x v="0"/>
    <x v="1"/>
    <d v="2003-04-11T00:00:00"/>
    <n v="22.836111111111112"/>
    <x v="0"/>
    <x v="1"/>
    <x v="2"/>
    <s v="Cairo"/>
    <d v="2022-08-13T00:00:00"/>
    <n v="3.4972222222222222"/>
    <n v="4163"/>
    <x v="2"/>
    <x v="1"/>
  </r>
  <r>
    <n v="52921"/>
    <s v="Emp 64"/>
    <s v="30307040167324"/>
    <x v="0"/>
    <x v="1"/>
    <d v="2003-07-04T00:00:00"/>
    <n v="22.605555555555554"/>
    <x v="1"/>
    <x v="1"/>
    <x v="1"/>
    <s v="Cairo"/>
    <d v="2022-08-14T00:00:00"/>
    <n v="3.4944444444444445"/>
    <n v="5648"/>
    <x v="2"/>
    <x v="1"/>
  </r>
  <r>
    <n v="51587"/>
    <s v="Emp 65"/>
    <s v="30312240159658"/>
    <x v="0"/>
    <x v="0"/>
    <d v="2003-12-24T00:00:00"/>
    <n v="22.133333333333333"/>
    <x v="1"/>
    <x v="1"/>
    <x v="0"/>
    <s v="Cairo"/>
    <d v="2022-08-15T00:00:00"/>
    <n v="3.4916666666666667"/>
    <n v="5938"/>
    <x v="2"/>
    <x v="1"/>
  </r>
  <r>
    <n v="59143"/>
    <s v="Emp 66"/>
    <s v="30311180189516"/>
    <x v="0"/>
    <x v="0"/>
    <d v="2003-11-18T00:00:00"/>
    <n v="22.233333333333334"/>
    <x v="0"/>
    <x v="1"/>
    <x v="1"/>
    <s v="Cairo"/>
    <d v="2022-08-16T00:00:00"/>
    <n v="3.4888888888888889"/>
    <n v="5555"/>
    <x v="2"/>
    <x v="1"/>
  </r>
  <r>
    <n v="55294"/>
    <s v="Emp 67"/>
    <s v="30311050154941"/>
    <x v="4"/>
    <x v="1"/>
    <d v="2003-11-05T00:00:00"/>
    <n v="22.269444444444446"/>
    <x v="1"/>
    <x v="1"/>
    <x v="0"/>
    <s v="Cairo"/>
    <d v="2022-08-17T00:00:00"/>
    <n v="3.4861111111111112"/>
    <n v="5911"/>
    <x v="2"/>
    <x v="1"/>
  </r>
  <r>
    <n v="56261"/>
    <s v="Emp 68"/>
    <s v="30306210164164"/>
    <x v="5"/>
    <x v="1"/>
    <d v="2003-06-21T00:00:00"/>
    <n v="22.641666666666666"/>
    <x v="1"/>
    <x v="1"/>
    <x v="1"/>
    <s v="Cairo"/>
    <d v="2022-08-18T00:00:00"/>
    <n v="3.4833333333333334"/>
    <n v="6353"/>
    <x v="2"/>
    <x v="0"/>
  </r>
  <r>
    <n v="51795"/>
    <s v="Emp 69"/>
    <s v="30203010169224"/>
    <x v="6"/>
    <x v="1"/>
    <d v="2002-03-01T00:00:00"/>
    <n v="23.947222222222223"/>
    <x v="1"/>
    <x v="1"/>
    <x v="2"/>
    <s v="Cairo"/>
    <d v="2022-08-19T00:00:00"/>
    <n v="3.4805555555555556"/>
    <n v="6435"/>
    <x v="2"/>
    <x v="0"/>
  </r>
  <r>
    <n v="53732"/>
    <s v="Emp 70"/>
    <s v="30203160168687"/>
    <x v="4"/>
    <x v="1"/>
    <d v="2002-03-16T00:00:00"/>
    <n v="23.905555555555555"/>
    <x v="0"/>
    <x v="1"/>
    <x v="4"/>
    <s v="Cairo"/>
    <d v="2022-08-20T00:00:00"/>
    <n v="3.4777777777777779"/>
    <n v="6610"/>
    <x v="2"/>
    <x v="0"/>
  </r>
  <r>
    <n v="54476"/>
    <s v="Emp 71"/>
    <s v="30203130168457"/>
    <x v="7"/>
    <x v="0"/>
    <d v="2002-03-13T00:00:00"/>
    <n v="23.913888888888888"/>
    <x v="0"/>
    <x v="1"/>
    <x v="2"/>
    <s v="Cairo"/>
    <d v="2022-08-21T00:00:00"/>
    <n v="3.4750000000000001"/>
    <n v="4443"/>
    <x v="2"/>
    <x v="1"/>
  </r>
  <r>
    <n v="50466"/>
    <s v="Emp 72"/>
    <s v="30201250153838"/>
    <x v="8"/>
    <x v="0"/>
    <d v="2002-01-25T00:00:00"/>
    <n v="24.047222222222221"/>
    <x v="0"/>
    <x v="1"/>
    <x v="4"/>
    <s v="Cairo"/>
    <d v="2022-08-22T00:00:00"/>
    <n v="3.4722222222222223"/>
    <n v="4609"/>
    <x v="2"/>
    <x v="1"/>
  </r>
  <r>
    <n v="58293"/>
    <s v="Emp 73"/>
    <s v="30202220159543"/>
    <x v="7"/>
    <x v="1"/>
    <d v="2002-02-22T00:00:00"/>
    <n v="23.972222222222221"/>
    <x v="0"/>
    <x v="0"/>
    <x v="3"/>
    <s v="Cairo"/>
    <d v="2022-08-23T00:00:00"/>
    <n v="3.4694444444444446"/>
    <n v="26409"/>
    <x v="2"/>
    <x v="0"/>
  </r>
  <r>
    <n v="54013"/>
    <s v="Emp 74"/>
    <s v="28905040177344"/>
    <x v="8"/>
    <x v="1"/>
    <d v="1989-05-04T00:00:00"/>
    <n v="36.772222222222226"/>
    <x v="0"/>
    <x v="1"/>
    <x v="3"/>
    <s v="Cairo"/>
    <d v="2022-08-24T00:00:00"/>
    <n v="3.4666666666666668"/>
    <n v="4448"/>
    <x v="2"/>
    <x v="1"/>
  </r>
  <r>
    <n v="52424"/>
    <s v="Emp 75"/>
    <s v="29008130188595"/>
    <x v="9"/>
    <x v="0"/>
    <d v="1990-08-13T00:00:00"/>
    <n v="35.49722222222222"/>
    <x v="1"/>
    <x v="1"/>
    <x v="1"/>
    <s v="Cairo"/>
    <d v="2022-08-25T00:00:00"/>
    <n v="3.463888888888889"/>
    <n v="5258"/>
    <x v="2"/>
    <x v="1"/>
  </r>
  <r>
    <n v="54970"/>
    <s v="Emp 76"/>
    <s v="30103030188337"/>
    <x v="3"/>
    <x v="0"/>
    <d v="2001-03-03T00:00:00"/>
    <n v="24.941666666666666"/>
    <x v="1"/>
    <x v="1"/>
    <x v="0"/>
    <s v="Cairo"/>
    <d v="2022-08-26T00:00:00"/>
    <n v="3.4611111111111112"/>
    <n v="6638"/>
    <x v="2"/>
    <x v="0"/>
  </r>
  <r>
    <n v="51545"/>
    <s v="Emp 77"/>
    <s v="28803210157736"/>
    <x v="0"/>
    <x v="0"/>
    <d v="1988-03-21T00:00:00"/>
    <n v="37.891666666666666"/>
    <x v="1"/>
    <x v="1"/>
    <x v="2"/>
    <s v="Cairo"/>
    <d v="2022-08-27T00:00:00"/>
    <n v="3.4583333333333335"/>
    <n v="4351"/>
    <x v="2"/>
    <x v="1"/>
  </r>
  <r>
    <n v="51441"/>
    <s v="Emp 78"/>
    <s v="30002090153739"/>
    <x v="4"/>
    <x v="0"/>
    <d v="2000-02-09T00:00:00"/>
    <n v="26.008333333333333"/>
    <x v="0"/>
    <x v="1"/>
    <x v="1"/>
    <s v="Cairo"/>
    <d v="2022-08-28T00:00:00"/>
    <n v="3.4555555555555557"/>
    <n v="5860"/>
    <x v="2"/>
    <x v="1"/>
  </r>
  <r>
    <n v="54150"/>
    <s v="Emp 79"/>
    <s v="29704270188033"/>
    <x v="0"/>
    <x v="0"/>
    <d v="1997-04-27T00:00:00"/>
    <n v="28.791666666666668"/>
    <x v="0"/>
    <x v="2"/>
    <x v="0"/>
    <s v="Cairo"/>
    <d v="2022-08-29T00:00:00"/>
    <n v="3.4527777777777779"/>
    <n v="12427"/>
    <x v="2"/>
    <x v="0"/>
  </r>
  <r>
    <n v="52186"/>
    <s v="Emp 80"/>
    <s v="28903010153618"/>
    <x v="0"/>
    <x v="0"/>
    <d v="1989-03-01T00:00:00"/>
    <n v="36.947222222222223"/>
    <x v="1"/>
    <x v="2"/>
    <x v="4"/>
    <s v="Cairo"/>
    <d v="2022-08-30T00:00:00"/>
    <n v="3.45"/>
    <n v="14070"/>
    <x v="2"/>
    <x v="0"/>
  </r>
  <r>
    <n v="56858"/>
    <s v="Emp 81"/>
    <s v="29004050168366"/>
    <x v="0"/>
    <x v="1"/>
    <d v="1990-04-05T00:00:00"/>
    <n v="35.852777777777774"/>
    <x v="1"/>
    <x v="1"/>
    <x v="2"/>
    <s v="Cairo"/>
    <d v="2022-08-31T00:00:00"/>
    <n v="3.45"/>
    <n v="6359"/>
    <x v="2"/>
    <x v="0"/>
  </r>
  <r>
    <n v="57574"/>
    <s v="Emp 82"/>
    <s v="28911200187841"/>
    <x v="0"/>
    <x v="1"/>
    <d v="1989-11-20T00:00:00"/>
    <n v="36.227777777777774"/>
    <x v="1"/>
    <x v="2"/>
    <x v="3"/>
    <s v="Cairo"/>
    <d v="2022-09-01T00:00:00"/>
    <n v="3.4472222222222224"/>
    <n v="14324"/>
    <x v="3"/>
    <x v="0"/>
  </r>
  <r>
    <n v="53166"/>
    <s v="Emp 83"/>
    <s v="30107160191041"/>
    <x v="0"/>
    <x v="1"/>
    <d v="2001-07-16T00:00:00"/>
    <n v="24.572222222222223"/>
    <x v="1"/>
    <x v="0"/>
    <x v="0"/>
    <s v="Cairo"/>
    <d v="2022-09-02T00:00:00"/>
    <n v="3.4444444444444446"/>
    <n v="26027"/>
    <x v="3"/>
    <x v="0"/>
  </r>
  <r>
    <n v="57932"/>
    <s v="Emp 84"/>
    <s v="29706220156541"/>
    <x v="4"/>
    <x v="1"/>
    <d v="1997-06-22T00:00:00"/>
    <n v="28.638888888888889"/>
    <x v="0"/>
    <x v="1"/>
    <x v="3"/>
    <s v="Cairo"/>
    <d v="2022-09-03T00:00:00"/>
    <n v="3.4416666666666669"/>
    <n v="4411"/>
    <x v="3"/>
    <x v="1"/>
  </r>
  <r>
    <n v="52196"/>
    <s v="Emp 85"/>
    <s v="30310250152875"/>
    <x v="4"/>
    <x v="0"/>
    <d v="2003-10-25T00:00:00"/>
    <n v="22.297222222222221"/>
    <x v="0"/>
    <x v="1"/>
    <x v="1"/>
    <s v="Cairo"/>
    <d v="2022-09-04T00:00:00"/>
    <n v="3.4388888888888891"/>
    <n v="3312"/>
    <x v="3"/>
    <x v="1"/>
  </r>
  <r>
    <n v="52870"/>
    <s v="Emp 86"/>
    <s v="30305020182347"/>
    <x v="6"/>
    <x v="1"/>
    <d v="2003-05-02T00:00:00"/>
    <n v="22.777777777777779"/>
    <x v="0"/>
    <x v="2"/>
    <x v="3"/>
    <s v="Cairo"/>
    <d v="2022-09-05T00:00:00"/>
    <n v="3.4361111111111109"/>
    <n v="11821"/>
    <x v="3"/>
    <x v="0"/>
  </r>
  <r>
    <n v="59943"/>
    <s v="Emp 87"/>
    <s v="30303140161476"/>
    <x v="8"/>
    <x v="0"/>
    <d v="2003-03-14T00:00:00"/>
    <n v="22.911111111111111"/>
    <x v="0"/>
    <x v="1"/>
    <x v="3"/>
    <s v="Cairo"/>
    <d v="2022-09-06T00:00:00"/>
    <n v="3.4333333333333331"/>
    <n v="6153"/>
    <x v="3"/>
    <x v="0"/>
  </r>
  <r>
    <n v="57922"/>
    <s v="Emp 88"/>
    <s v="30309230158544"/>
    <x v="7"/>
    <x v="1"/>
    <d v="2003-09-23T00:00:00"/>
    <n v="22.386111111111113"/>
    <x v="0"/>
    <x v="0"/>
    <x v="1"/>
    <s v="Cairo"/>
    <d v="2022-09-07T00:00:00"/>
    <n v="3.4305555555555554"/>
    <n v="15652"/>
    <x v="3"/>
    <x v="0"/>
  </r>
  <r>
    <n v="55362"/>
    <s v="Emp 89"/>
    <s v="30312260164741"/>
    <x v="5"/>
    <x v="1"/>
    <d v="2003-12-26T00:00:00"/>
    <n v="22.127777777777776"/>
    <x v="1"/>
    <x v="1"/>
    <x v="3"/>
    <s v="Cairo"/>
    <d v="2022-09-08T00:00:00"/>
    <n v="3.4277777777777776"/>
    <n v="3459"/>
    <x v="3"/>
    <x v="1"/>
  </r>
  <r>
    <n v="51266"/>
    <s v="Emp 90"/>
    <s v="30301130178237"/>
    <x v="2"/>
    <x v="0"/>
    <d v="2003-01-13T00:00:00"/>
    <n v="23.080555555555556"/>
    <x v="1"/>
    <x v="1"/>
    <x v="0"/>
    <s v="Cairo"/>
    <d v="2022-09-09T00:00:00"/>
    <n v="3.4249999999999998"/>
    <n v="4017"/>
    <x v="3"/>
    <x v="1"/>
  </r>
  <r>
    <n v="56095"/>
    <s v="Emp 91"/>
    <s v="30312060154214"/>
    <x v="6"/>
    <x v="0"/>
    <d v="2003-12-06T00:00:00"/>
    <n v="22.183333333333334"/>
    <x v="1"/>
    <x v="1"/>
    <x v="3"/>
    <s v="Cairo"/>
    <d v="2022-09-10T00:00:00"/>
    <n v="3.4222222222222221"/>
    <n v="3737"/>
    <x v="3"/>
    <x v="1"/>
  </r>
  <r>
    <n v="50869"/>
    <s v="Emp 92"/>
    <s v="30310230158391"/>
    <x v="0"/>
    <x v="0"/>
    <d v="2003-10-23T00:00:00"/>
    <n v="22.302777777777777"/>
    <x v="0"/>
    <x v="1"/>
    <x v="3"/>
    <s v="Cairo"/>
    <d v="2022-09-11T00:00:00"/>
    <n v="3.4194444444444443"/>
    <n v="4870"/>
    <x v="3"/>
    <x v="1"/>
  </r>
  <r>
    <n v="58979"/>
    <s v="Emp 93"/>
    <s v="30312250185239"/>
    <x v="0"/>
    <x v="0"/>
    <d v="2003-12-25T00:00:00"/>
    <n v="22.130555555555556"/>
    <x v="0"/>
    <x v="2"/>
    <x v="4"/>
    <s v="Cairo"/>
    <d v="2022-09-12T00:00:00"/>
    <n v="3.4166666666666665"/>
    <n v="10285"/>
    <x v="3"/>
    <x v="0"/>
  </r>
  <r>
    <n v="51514"/>
    <s v="Emp 94"/>
    <s v="30310180161571"/>
    <x v="0"/>
    <x v="0"/>
    <d v="2003-10-18T00:00:00"/>
    <n v="22.316666666666666"/>
    <x v="1"/>
    <x v="1"/>
    <x v="0"/>
    <s v="Cairo"/>
    <d v="2022-09-13T00:00:00"/>
    <n v="3.4138888888888888"/>
    <n v="5829"/>
    <x v="3"/>
    <x v="1"/>
  </r>
  <r>
    <n v="51831"/>
    <s v="Emp 95"/>
    <s v="30308020156447"/>
    <x v="0"/>
    <x v="1"/>
    <d v="2003-08-02T00:00:00"/>
    <n v="22.527777777777779"/>
    <x v="0"/>
    <x v="1"/>
    <x v="3"/>
    <s v="Cairo"/>
    <d v="2022-09-14T00:00:00"/>
    <n v="3.411111111111111"/>
    <n v="4672"/>
    <x v="3"/>
    <x v="1"/>
  </r>
  <r>
    <n v="58864"/>
    <s v="Emp 96"/>
    <s v="30307130176042"/>
    <x v="0"/>
    <x v="1"/>
    <d v="2003-07-13T00:00:00"/>
    <n v="22.580555555555556"/>
    <x v="1"/>
    <x v="1"/>
    <x v="2"/>
    <s v="Cairo"/>
    <d v="2022-09-15T00:00:00"/>
    <n v="3.4083333333333332"/>
    <n v="6580"/>
    <x v="3"/>
    <x v="0"/>
  </r>
  <r>
    <n v="52227"/>
    <s v="Emp 97"/>
    <s v="30305270178537"/>
    <x v="5"/>
    <x v="0"/>
    <d v="2003-05-27T00:00:00"/>
    <n v="22.708333333333332"/>
    <x v="0"/>
    <x v="1"/>
    <x v="4"/>
    <s v="Cairo"/>
    <d v="2022-09-16T00:00:00"/>
    <n v="3.4055555555555554"/>
    <n v="5710"/>
    <x v="3"/>
    <x v="1"/>
  </r>
  <r>
    <n v="50196"/>
    <s v="Emp 98"/>
    <s v="30301040159291"/>
    <x v="2"/>
    <x v="0"/>
    <d v="2003-01-04T00:00:00"/>
    <n v="23.105555555555554"/>
    <x v="0"/>
    <x v="0"/>
    <x v="4"/>
    <s v="Cairo"/>
    <d v="2022-09-17T00:00:00"/>
    <n v="3.4027777777777777"/>
    <n v="15411"/>
    <x v="3"/>
    <x v="0"/>
  </r>
  <r>
    <n v="50308"/>
    <s v="Emp 99"/>
    <s v="30301060183149"/>
    <x v="4"/>
    <x v="1"/>
    <d v="2003-01-06T00:00:00"/>
    <n v="23.1"/>
    <x v="0"/>
    <x v="1"/>
    <x v="3"/>
    <s v="Cairo"/>
    <d v="2022-09-18T00:00:00"/>
    <n v="3.4"/>
    <n v="4462"/>
    <x v="3"/>
    <x v="1"/>
  </r>
  <r>
    <n v="57227"/>
    <s v="Emp 100"/>
    <s v="30310230163411"/>
    <x v="6"/>
    <x v="0"/>
    <d v="2003-10-23T00:00:00"/>
    <n v="22.302777777777777"/>
    <x v="0"/>
    <x v="1"/>
    <x v="1"/>
    <s v="Cairo"/>
    <d v="2022-09-19T00:00:00"/>
    <n v="3.3972222222222221"/>
    <n v="3114"/>
    <x v="3"/>
    <x v="1"/>
  </r>
  <r>
    <n v="57857"/>
    <s v="Emp 101"/>
    <s v="30301160168544"/>
    <x v="3"/>
    <x v="1"/>
    <d v="2003-01-16T00:00:00"/>
    <n v="23.072222222222223"/>
    <x v="0"/>
    <x v="2"/>
    <x v="3"/>
    <s v="Cairo"/>
    <d v="2022-09-20T00:00:00"/>
    <n v="3.3944444444444444"/>
    <n v="13729"/>
    <x v="3"/>
    <x v="0"/>
  </r>
  <r>
    <n v="58995"/>
    <s v="Emp 102"/>
    <s v="30309190157418"/>
    <x v="0"/>
    <x v="0"/>
    <d v="2003-09-19T00:00:00"/>
    <n v="22.397222222222222"/>
    <x v="1"/>
    <x v="0"/>
    <x v="0"/>
    <s v="Cairo"/>
    <d v="2022-09-21T00:00:00"/>
    <n v="3.3916666666666666"/>
    <n v="18908"/>
    <x v="3"/>
    <x v="0"/>
  </r>
  <r>
    <n v="52249"/>
    <s v="Emp 103"/>
    <s v="30302040172071"/>
    <x v="6"/>
    <x v="0"/>
    <d v="2003-02-04T00:00:00"/>
    <n v="23.022222222222222"/>
    <x v="0"/>
    <x v="1"/>
    <x v="2"/>
    <s v="Cairo"/>
    <d v="2022-09-22T00:00:00"/>
    <n v="3.3888888888888888"/>
    <n v="5554"/>
    <x v="3"/>
    <x v="1"/>
  </r>
  <r>
    <n v="50442"/>
    <s v="Emp 104"/>
    <s v="30310190184071"/>
    <x v="3"/>
    <x v="0"/>
    <d v="2003-10-19T00:00:00"/>
    <n v="22.31388888888889"/>
    <x v="0"/>
    <x v="0"/>
    <x v="3"/>
    <s v="Cairo"/>
    <d v="2022-09-23T00:00:00"/>
    <n v="3.3861111111111111"/>
    <n v="29292"/>
    <x v="3"/>
    <x v="0"/>
  </r>
  <r>
    <n v="51650"/>
    <s v="Emp 105"/>
    <s v="30312090162648"/>
    <x v="5"/>
    <x v="1"/>
    <d v="2003-12-09T00:00:00"/>
    <n v="22.175000000000001"/>
    <x v="1"/>
    <x v="1"/>
    <x v="2"/>
    <s v="Cairo"/>
    <d v="2022-09-24T00:00:00"/>
    <n v="3.3833333333333333"/>
    <n v="5096"/>
    <x v="3"/>
    <x v="1"/>
  </r>
  <r>
    <n v="50768"/>
    <s v="Emp 106"/>
    <s v="30311250185772"/>
    <x v="4"/>
    <x v="0"/>
    <d v="2003-11-25T00:00:00"/>
    <n v="22.213888888888889"/>
    <x v="1"/>
    <x v="0"/>
    <x v="3"/>
    <s v="Cairo"/>
    <d v="2022-09-25T00:00:00"/>
    <n v="3.3805555555555555"/>
    <n v="15286"/>
    <x v="3"/>
    <x v="0"/>
  </r>
  <r>
    <n v="57614"/>
    <s v="Emp 107"/>
    <s v="30306100183994"/>
    <x v="0"/>
    <x v="0"/>
    <d v="2003-06-10T00:00:00"/>
    <n v="22.672222222222221"/>
    <x v="1"/>
    <x v="2"/>
    <x v="3"/>
    <s v="Cairo"/>
    <d v="2022-09-26T00:00:00"/>
    <n v="3.3777777777777778"/>
    <n v="13927"/>
    <x v="3"/>
    <x v="0"/>
  </r>
  <r>
    <n v="56628"/>
    <s v="Emp 108"/>
    <s v="30307080170453"/>
    <x v="7"/>
    <x v="0"/>
    <d v="2003-07-08T00:00:00"/>
    <n v="22.594444444444445"/>
    <x v="0"/>
    <x v="1"/>
    <x v="3"/>
    <s v="Cairo"/>
    <d v="2022-09-27T00:00:00"/>
    <n v="3.375"/>
    <n v="3566"/>
    <x v="3"/>
    <x v="1"/>
  </r>
  <r>
    <n v="50024"/>
    <s v="Emp 109"/>
    <s v="30306090191146"/>
    <x v="0"/>
    <x v="1"/>
    <d v="2003-06-09T00:00:00"/>
    <n v="22.675000000000001"/>
    <x v="1"/>
    <x v="2"/>
    <x v="1"/>
    <s v="Cairo"/>
    <d v="2022-09-28T00:00:00"/>
    <n v="3.3722222222222222"/>
    <n v="13467"/>
    <x v="3"/>
    <x v="0"/>
  </r>
  <r>
    <n v="56554"/>
    <s v="Emp 110"/>
    <s v="30309220165141"/>
    <x v="0"/>
    <x v="1"/>
    <d v="2003-09-22T00:00:00"/>
    <n v="22.388888888888889"/>
    <x v="1"/>
    <x v="1"/>
    <x v="0"/>
    <s v="Cairo"/>
    <d v="2022-09-29T00:00:00"/>
    <n v="3.3694444444444445"/>
    <n v="6785"/>
    <x v="3"/>
    <x v="0"/>
  </r>
  <r>
    <n v="50071"/>
    <s v="Emp 111"/>
    <s v="30302080176413"/>
    <x v="0"/>
    <x v="0"/>
    <d v="2003-02-08T00:00:00"/>
    <n v="23.011111111111113"/>
    <x v="0"/>
    <x v="2"/>
    <x v="1"/>
    <s v="Cairo"/>
    <d v="2022-09-30T00:00:00"/>
    <n v="3.3666666666666667"/>
    <n v="13633"/>
    <x v="3"/>
    <x v="0"/>
  </r>
  <r>
    <n v="54175"/>
    <s v="Emp 112"/>
    <s v="30302040176274"/>
    <x v="0"/>
    <x v="0"/>
    <d v="2003-02-04T00:00:00"/>
    <n v="23.022222222222222"/>
    <x v="1"/>
    <x v="1"/>
    <x v="3"/>
    <s v="Cairo"/>
    <d v="2022-10-01T00:00:00"/>
    <n v="3.3638888888888889"/>
    <n v="6079"/>
    <x v="4"/>
    <x v="0"/>
  </r>
  <r>
    <n v="55697"/>
    <s v="Emp 113"/>
    <s v="30309160180878"/>
    <x v="0"/>
    <x v="0"/>
    <d v="2003-09-16T00:00:00"/>
    <n v="22.405555555555555"/>
    <x v="0"/>
    <x v="1"/>
    <x v="2"/>
    <s v="Cairo"/>
    <d v="2022-10-02T00:00:00"/>
    <n v="3.3611111111111112"/>
    <n v="5911"/>
    <x v="4"/>
    <x v="1"/>
  </r>
  <r>
    <n v="54693"/>
    <s v="Emp 114"/>
    <s v="30307170191078"/>
    <x v="0"/>
    <x v="0"/>
    <d v="2003-07-17T00:00:00"/>
    <n v="22.569444444444443"/>
    <x v="1"/>
    <x v="0"/>
    <x v="1"/>
    <s v="Cairo"/>
    <d v="2022-10-03T00:00:00"/>
    <n v="3.3583333333333334"/>
    <n v="15462"/>
    <x v="4"/>
    <x v="0"/>
  </r>
  <r>
    <n v="57687"/>
    <s v="Emp 115"/>
    <s v="30308190182956"/>
    <x v="4"/>
    <x v="0"/>
    <d v="2003-08-19T00:00:00"/>
    <n v="22.480555555555554"/>
    <x v="1"/>
    <x v="1"/>
    <x v="0"/>
    <s v="Cairo"/>
    <d v="2022-10-04T00:00:00"/>
    <n v="3.3555555555555556"/>
    <n v="4865"/>
    <x v="4"/>
    <x v="1"/>
  </r>
  <r>
    <n v="50825"/>
    <s v="Emp 116"/>
    <s v="30307070184295"/>
    <x v="6"/>
    <x v="0"/>
    <d v="2003-07-07T00:00:00"/>
    <n v="22.597222222222221"/>
    <x v="1"/>
    <x v="1"/>
    <x v="1"/>
    <s v="Cairo"/>
    <d v="2022-10-05T00:00:00"/>
    <n v="3.3527777777777779"/>
    <n v="4198"/>
    <x v="4"/>
    <x v="1"/>
  </r>
  <r>
    <n v="51327"/>
    <s v="Emp 117"/>
    <s v="30302240174815"/>
    <x v="8"/>
    <x v="0"/>
    <d v="2003-02-24T00:00:00"/>
    <n v="22.966666666666665"/>
    <x v="0"/>
    <x v="1"/>
    <x v="4"/>
    <s v="Cairo"/>
    <d v="2022-10-06T00:00:00"/>
    <n v="3.35"/>
    <n v="3829"/>
    <x v="4"/>
    <x v="1"/>
  </r>
  <r>
    <n v="59016"/>
    <s v="Emp 118"/>
    <s v="30305150191418"/>
    <x v="3"/>
    <x v="0"/>
    <d v="2003-05-15T00:00:00"/>
    <n v="22.741666666666667"/>
    <x v="1"/>
    <x v="0"/>
    <x v="0"/>
    <s v="Cairo"/>
    <d v="2022-10-07T00:00:00"/>
    <n v="3.3472222222222223"/>
    <n v="27416"/>
    <x v="4"/>
    <x v="0"/>
  </r>
  <r>
    <n v="56202"/>
    <s v="Emp 119"/>
    <s v="30304240178042"/>
    <x v="6"/>
    <x v="1"/>
    <d v="2003-04-24T00:00:00"/>
    <n v="22.8"/>
    <x v="1"/>
    <x v="1"/>
    <x v="2"/>
    <s v="Cairo"/>
    <d v="2022-10-08T00:00:00"/>
    <n v="3.3444444444444446"/>
    <n v="6794"/>
    <x v="4"/>
    <x v="0"/>
  </r>
  <r>
    <n v="55559"/>
    <s v="Emp 120"/>
    <s v="30308280186358"/>
    <x v="7"/>
    <x v="0"/>
    <d v="2003-08-28T00:00:00"/>
    <n v="22.455555555555556"/>
    <x v="1"/>
    <x v="1"/>
    <x v="4"/>
    <s v="Cairo"/>
    <d v="2022-10-09T00:00:00"/>
    <n v="3.3416666666666668"/>
    <n v="6444"/>
    <x v="4"/>
    <x v="0"/>
  </r>
  <r>
    <n v="50891"/>
    <s v="Emp 121"/>
    <s v="30309240166741"/>
    <x v="6"/>
    <x v="1"/>
    <d v="2003-09-24T00:00:00"/>
    <n v="22.383333333333333"/>
    <x v="1"/>
    <x v="0"/>
    <x v="0"/>
    <s v="Cairo"/>
    <d v="2022-10-10T00:00:00"/>
    <n v="3.338888888888889"/>
    <n v="20031"/>
    <x v="4"/>
    <x v="0"/>
  </r>
  <r>
    <n v="56862"/>
    <s v="Emp 122"/>
    <s v="30312060191147"/>
    <x v="5"/>
    <x v="1"/>
    <d v="2003-12-06T00:00:00"/>
    <n v="22.183333333333334"/>
    <x v="0"/>
    <x v="1"/>
    <x v="1"/>
    <s v="Cairo"/>
    <d v="2022-10-11T00:00:00"/>
    <n v="3.3361111111111112"/>
    <n v="4795"/>
    <x v="4"/>
    <x v="1"/>
  </r>
  <r>
    <n v="53757"/>
    <s v="Emp 123"/>
    <s v="30303030172846"/>
    <x v="9"/>
    <x v="1"/>
    <d v="2003-03-03T00:00:00"/>
    <n v="22.941666666666666"/>
    <x v="1"/>
    <x v="1"/>
    <x v="4"/>
    <s v="Cairo"/>
    <d v="2022-10-12T00:00:00"/>
    <n v="3.3333333333333335"/>
    <n v="4959"/>
    <x v="4"/>
    <x v="1"/>
  </r>
  <r>
    <n v="56204"/>
    <s v="Emp 124"/>
    <s v="30007190185291"/>
    <x v="4"/>
    <x v="0"/>
    <d v="2000-07-19T00:00:00"/>
    <n v="25.56388888888889"/>
    <x v="0"/>
    <x v="1"/>
    <x v="0"/>
    <s v="Cairo"/>
    <d v="2022-10-13T00:00:00"/>
    <n v="3.3305555555555557"/>
    <n v="5042"/>
    <x v="4"/>
    <x v="1"/>
  </r>
  <r>
    <n v="59223"/>
    <s v="Emp 125"/>
    <s v="29702140152396"/>
    <x v="8"/>
    <x v="0"/>
    <d v="1997-02-14T00:00:00"/>
    <n v="28.994444444444444"/>
    <x v="1"/>
    <x v="2"/>
    <x v="4"/>
    <s v="Cairo"/>
    <d v="2022-10-14T00:00:00"/>
    <n v="3.3277777777777779"/>
    <n v="13651"/>
    <x v="4"/>
    <x v="0"/>
  </r>
  <r>
    <n v="57438"/>
    <s v="Emp 126"/>
    <s v="29906230173199"/>
    <x v="4"/>
    <x v="0"/>
    <d v="1999-06-23T00:00:00"/>
    <n v="26.636111111111113"/>
    <x v="0"/>
    <x v="1"/>
    <x v="0"/>
    <s v="Cairo"/>
    <d v="2022-10-15T00:00:00"/>
    <n v="3.3250000000000002"/>
    <n v="4055"/>
    <x v="4"/>
    <x v="1"/>
  </r>
  <r>
    <n v="56978"/>
    <s v="Emp 127"/>
    <s v="29001240183958"/>
    <x v="4"/>
    <x v="0"/>
    <d v="1990-01-24T00:00:00"/>
    <n v="36.049999999999997"/>
    <x v="0"/>
    <x v="0"/>
    <x v="1"/>
    <s v="Cairo"/>
    <d v="2022-10-16T00:00:00"/>
    <n v="3.3222222222222224"/>
    <n v="22646"/>
    <x v="4"/>
    <x v="0"/>
  </r>
  <r>
    <n v="58145"/>
    <s v="Emp 128"/>
    <s v="29412110153142"/>
    <x v="7"/>
    <x v="1"/>
    <d v="1994-12-11T00:00:00"/>
    <n v="31.169444444444444"/>
    <x v="0"/>
    <x v="1"/>
    <x v="3"/>
    <s v="Cairo"/>
    <d v="2022-10-17T00:00:00"/>
    <n v="3.3194444444444446"/>
    <n v="4445"/>
    <x v="4"/>
    <x v="1"/>
  </r>
  <r>
    <n v="57192"/>
    <s v="Emp 129"/>
    <s v="29803070171498"/>
    <x v="7"/>
    <x v="0"/>
    <d v="1998-03-07T00:00:00"/>
    <n v="27.930555555555557"/>
    <x v="0"/>
    <x v="1"/>
    <x v="3"/>
    <s v="Cairo"/>
    <d v="2022-10-18T00:00:00"/>
    <n v="3.3166666666666669"/>
    <n v="3431"/>
    <x v="4"/>
    <x v="1"/>
  </r>
  <r>
    <n v="58587"/>
    <s v="Emp 130"/>
    <s v="30206130170119"/>
    <x v="9"/>
    <x v="0"/>
    <d v="2002-06-13T00:00:00"/>
    <n v="23.663888888888888"/>
    <x v="1"/>
    <x v="2"/>
    <x v="3"/>
    <s v="Cairo"/>
    <d v="2022-10-19T00:00:00"/>
    <n v="3.3138888888888891"/>
    <n v="14744"/>
    <x v="4"/>
    <x v="0"/>
  </r>
  <r>
    <n v="57430"/>
    <s v="Emp 131"/>
    <s v="30206240176646"/>
    <x v="2"/>
    <x v="1"/>
    <d v="2002-06-24T00:00:00"/>
    <n v="23.633333333333333"/>
    <x v="0"/>
    <x v="2"/>
    <x v="0"/>
    <s v="Cairo"/>
    <d v="2022-10-20T00:00:00"/>
    <n v="3.3111111111111109"/>
    <n v="12526"/>
    <x v="4"/>
    <x v="0"/>
  </r>
  <r>
    <n v="50677"/>
    <s v="Emp 132"/>
    <s v="30206210171642"/>
    <x v="7"/>
    <x v="1"/>
    <d v="2002-06-21T00:00:00"/>
    <n v="23.641666666666666"/>
    <x v="1"/>
    <x v="2"/>
    <x v="3"/>
    <s v="Cairo"/>
    <d v="2022-10-21T00:00:00"/>
    <n v="3.3083333333333331"/>
    <n v="10782"/>
    <x v="4"/>
    <x v="0"/>
  </r>
  <r>
    <n v="56402"/>
    <s v="Emp 133"/>
    <s v="30207060184555"/>
    <x v="4"/>
    <x v="0"/>
    <d v="2002-07-06T00:00:00"/>
    <n v="23.6"/>
    <x v="0"/>
    <x v="0"/>
    <x v="4"/>
    <s v="Cairo"/>
    <d v="2022-10-22T00:00:00"/>
    <n v="3.3055555555555554"/>
    <n v="21908"/>
    <x v="4"/>
    <x v="0"/>
  </r>
  <r>
    <n v="53600"/>
    <s v="Emp 134"/>
    <s v="30206180184842"/>
    <x v="5"/>
    <x v="1"/>
    <d v="2002-06-18T00:00:00"/>
    <n v="23.65"/>
    <x v="0"/>
    <x v="2"/>
    <x v="2"/>
    <s v="Cairo"/>
    <d v="2022-10-23T00:00:00"/>
    <n v="3.3027777777777776"/>
    <n v="12249"/>
    <x v="4"/>
    <x v="0"/>
  </r>
  <r>
    <n v="52062"/>
    <s v="Emp 135"/>
    <s v="29104040189542"/>
    <x v="4"/>
    <x v="1"/>
    <d v="1991-04-04T00:00:00"/>
    <n v="34.855555555555554"/>
    <x v="0"/>
    <x v="2"/>
    <x v="4"/>
    <s v="Cairo"/>
    <d v="2022-10-24T00:00:00"/>
    <n v="3.3"/>
    <n v="12707"/>
    <x v="4"/>
    <x v="0"/>
  </r>
  <r>
    <n v="56803"/>
    <s v="Emp 136"/>
    <s v="29504220161817"/>
    <x v="8"/>
    <x v="0"/>
    <d v="1995-04-22T00:00:00"/>
    <n v="30.805555555555557"/>
    <x v="0"/>
    <x v="0"/>
    <x v="0"/>
    <s v="Cairo"/>
    <d v="2022-10-25T00:00:00"/>
    <n v="3.2972222222222221"/>
    <n v="18373"/>
    <x v="4"/>
    <x v="0"/>
  </r>
  <r>
    <n v="53073"/>
    <s v="Emp 137"/>
    <s v="28404110157692"/>
    <x v="8"/>
    <x v="0"/>
    <d v="1984-04-11T00:00:00"/>
    <n v="41.836111111111109"/>
    <x v="1"/>
    <x v="1"/>
    <x v="4"/>
    <s v="Cairo"/>
    <d v="2022-10-26T00:00:00"/>
    <n v="3.2944444444444443"/>
    <n v="4282"/>
    <x v="4"/>
    <x v="1"/>
  </r>
  <r>
    <n v="54041"/>
    <s v="Emp 138"/>
    <s v="28711150182413"/>
    <x v="5"/>
    <x v="0"/>
    <d v="1987-11-15T00:00:00"/>
    <n v="38.241666666666667"/>
    <x v="1"/>
    <x v="1"/>
    <x v="0"/>
    <s v="Cairo"/>
    <d v="2022-10-27T00:00:00"/>
    <n v="3.2916666666666665"/>
    <n v="6720"/>
    <x v="4"/>
    <x v="0"/>
  </r>
  <r>
    <n v="56432"/>
    <s v="Emp 139"/>
    <s v="29503030156738"/>
    <x v="4"/>
    <x v="0"/>
    <d v="1995-03-03T00:00:00"/>
    <n v="30.941666666666666"/>
    <x v="0"/>
    <x v="1"/>
    <x v="0"/>
    <s v="Cairo"/>
    <d v="2022-10-28T00:00:00"/>
    <n v="3.2888888888888888"/>
    <n v="3707"/>
    <x v="4"/>
    <x v="1"/>
  </r>
  <r>
    <n v="59603"/>
    <s v="Emp 140"/>
    <s v="29212160179616"/>
    <x v="9"/>
    <x v="0"/>
    <d v="1992-12-16T00:00:00"/>
    <n v="33.155555555555559"/>
    <x v="0"/>
    <x v="0"/>
    <x v="2"/>
    <s v="Cairo"/>
    <d v="2022-10-29T00:00:00"/>
    <n v="3.286111111111111"/>
    <n v="26906"/>
    <x v="4"/>
    <x v="0"/>
  </r>
  <r>
    <n v="57571"/>
    <s v="Emp 141"/>
    <s v="30101070191477"/>
    <x v="4"/>
    <x v="0"/>
    <d v="2001-01-07T00:00:00"/>
    <n v="25.097222222222221"/>
    <x v="0"/>
    <x v="1"/>
    <x v="1"/>
    <s v="Cairo"/>
    <d v="2022-10-30T00:00:00"/>
    <n v="3.2833333333333332"/>
    <n v="3577"/>
    <x v="4"/>
    <x v="1"/>
  </r>
  <r>
    <n v="57263"/>
    <s v="Emp 142"/>
    <s v="28704120154534"/>
    <x v="0"/>
    <x v="0"/>
    <d v="1987-04-12T00:00:00"/>
    <n v="38.833333333333336"/>
    <x v="1"/>
    <x v="0"/>
    <x v="0"/>
    <s v="Cairo"/>
    <d v="2022-10-31T00:00:00"/>
    <n v="3.2833333333333332"/>
    <n v="17453"/>
    <x v="4"/>
    <x v="0"/>
  </r>
  <r>
    <n v="59816"/>
    <s v="Emp 143"/>
    <s v="28207230168144"/>
    <x v="7"/>
    <x v="1"/>
    <d v="1982-07-23T00:00:00"/>
    <n v="43.552777777777777"/>
    <x v="1"/>
    <x v="2"/>
    <x v="0"/>
    <s v="Cairo"/>
    <d v="2022-11-01T00:00:00"/>
    <n v="3.2805555555555554"/>
    <n v="14515"/>
    <x v="5"/>
    <x v="0"/>
  </r>
  <r>
    <n v="57114"/>
    <s v="Emp 144"/>
    <s v="28607170178945"/>
    <x v="5"/>
    <x v="1"/>
    <d v="1986-07-17T00:00:00"/>
    <n v="39.569444444444443"/>
    <x v="1"/>
    <x v="1"/>
    <x v="3"/>
    <s v="Cairo"/>
    <d v="2022-11-02T00:00:00"/>
    <n v="3.2777777777777777"/>
    <n v="5881"/>
    <x v="5"/>
    <x v="1"/>
  </r>
  <r>
    <n v="53785"/>
    <s v="Emp 145"/>
    <s v="30203240160646"/>
    <x v="7"/>
    <x v="1"/>
    <d v="2002-03-24T00:00:00"/>
    <n v="23.883333333333333"/>
    <x v="0"/>
    <x v="2"/>
    <x v="3"/>
    <s v="Cairo"/>
    <d v="2022-11-03T00:00:00"/>
    <n v="3.2749999999999999"/>
    <n v="13151"/>
    <x v="5"/>
    <x v="0"/>
  </r>
  <r>
    <n v="51171"/>
    <s v="Emp 146"/>
    <s v="30209080157445"/>
    <x v="6"/>
    <x v="1"/>
    <d v="2002-09-08T00:00:00"/>
    <n v="23.427777777777777"/>
    <x v="0"/>
    <x v="1"/>
    <x v="1"/>
    <s v="Cairo"/>
    <d v="2022-11-04T00:00:00"/>
    <n v="3.2722222222222221"/>
    <n v="5451"/>
    <x v="5"/>
    <x v="1"/>
  </r>
  <r>
    <n v="52964"/>
    <s v="Emp 147"/>
    <s v="30206190160732"/>
    <x v="4"/>
    <x v="0"/>
    <d v="2002-06-19T00:00:00"/>
    <n v="23.647222222222222"/>
    <x v="0"/>
    <x v="1"/>
    <x v="0"/>
    <s v="Cairo"/>
    <d v="2022-11-05T00:00:00"/>
    <n v="3.2694444444444444"/>
    <n v="5469"/>
    <x v="5"/>
    <x v="1"/>
  </r>
  <r>
    <n v="51944"/>
    <s v="Emp 148"/>
    <s v="30212140159011"/>
    <x v="0"/>
    <x v="0"/>
    <d v="2002-12-14T00:00:00"/>
    <n v="23.161111111111111"/>
    <x v="1"/>
    <x v="1"/>
    <x v="1"/>
    <s v="Cairo"/>
    <d v="2022-11-06T00:00:00"/>
    <n v="3.2666666666666666"/>
    <n v="3583"/>
    <x v="5"/>
    <x v="1"/>
  </r>
  <r>
    <n v="54172"/>
    <s v="Emp 149"/>
    <s v="30304010174117"/>
    <x v="9"/>
    <x v="0"/>
    <d v="2003-04-01T00:00:00"/>
    <n v="22.863888888888887"/>
    <x v="1"/>
    <x v="1"/>
    <x v="2"/>
    <s v="Cairo"/>
    <d v="2022-11-07T00:00:00"/>
    <n v="3.2638888888888888"/>
    <n v="3791"/>
    <x v="5"/>
    <x v="1"/>
  </r>
  <r>
    <n v="54667"/>
    <s v="Emp 150"/>
    <s v="30301060155253"/>
    <x v="5"/>
    <x v="0"/>
    <d v="2003-01-06T00:00:00"/>
    <n v="23.1"/>
    <x v="0"/>
    <x v="2"/>
    <x v="4"/>
    <s v="Cairo"/>
    <d v="2022-11-08T00:00:00"/>
    <n v="3.2611111111111111"/>
    <n v="14875"/>
    <x v="5"/>
    <x v="0"/>
  </r>
  <r>
    <n v="53070"/>
    <s v="Emp 151"/>
    <s v="30305120153445"/>
    <x v="2"/>
    <x v="1"/>
    <d v="2003-05-12T00:00:00"/>
    <n v="22.75"/>
    <x v="1"/>
    <x v="1"/>
    <x v="4"/>
    <s v="Cairo"/>
    <d v="2022-11-09T00:00:00"/>
    <n v="3.2583333333333333"/>
    <n v="6229"/>
    <x v="5"/>
    <x v="0"/>
  </r>
  <r>
    <n v="55655"/>
    <s v="Emp 152"/>
    <s v="30309160174839"/>
    <x v="3"/>
    <x v="0"/>
    <d v="2003-09-16T00:00:00"/>
    <n v="22.405555555555555"/>
    <x v="1"/>
    <x v="0"/>
    <x v="0"/>
    <s v="Cairo"/>
    <d v="2022-11-10T00:00:00"/>
    <n v="3.2555555555555555"/>
    <n v="19711"/>
    <x v="5"/>
    <x v="0"/>
  </r>
  <r>
    <n v="55754"/>
    <s v="Emp 153"/>
    <s v="30306020153398"/>
    <x v="5"/>
    <x v="0"/>
    <d v="2003-06-02T00:00:00"/>
    <n v="22.694444444444443"/>
    <x v="0"/>
    <x v="1"/>
    <x v="4"/>
    <s v="Cairo"/>
    <d v="2022-11-11T00:00:00"/>
    <n v="3.2527777777777778"/>
    <n v="5056"/>
    <x v="5"/>
    <x v="1"/>
  </r>
  <r>
    <n v="59748"/>
    <s v="Emp 154"/>
    <s v="30311170171453"/>
    <x v="4"/>
    <x v="0"/>
    <d v="2003-11-17T00:00:00"/>
    <n v="22.236111111111111"/>
    <x v="0"/>
    <x v="1"/>
    <x v="3"/>
    <s v="Cairo"/>
    <d v="2022-11-12T00:00:00"/>
    <n v="3.25"/>
    <n v="3368"/>
    <x v="5"/>
    <x v="1"/>
  </r>
  <r>
    <n v="57099"/>
    <s v="Emp 155"/>
    <s v="30301040190117"/>
    <x v="5"/>
    <x v="0"/>
    <d v="2003-01-04T00:00:00"/>
    <n v="23.105555555555554"/>
    <x v="1"/>
    <x v="1"/>
    <x v="2"/>
    <s v="Cairo"/>
    <d v="2022-11-13T00:00:00"/>
    <n v="3.2472222222222222"/>
    <n v="6699"/>
    <x v="5"/>
    <x v="0"/>
  </r>
  <r>
    <n v="50751"/>
    <s v="Emp 156"/>
    <s v="30302160159416"/>
    <x v="3"/>
    <x v="0"/>
    <d v="2003-02-16T00:00:00"/>
    <n v="22.988888888888887"/>
    <x v="1"/>
    <x v="1"/>
    <x v="4"/>
    <s v="Cairo"/>
    <d v="2022-11-14T00:00:00"/>
    <n v="3.2444444444444445"/>
    <n v="5763"/>
    <x v="5"/>
    <x v="1"/>
  </r>
  <r>
    <n v="58570"/>
    <s v="Emp 157"/>
    <s v="30309190155045"/>
    <x v="9"/>
    <x v="1"/>
    <d v="2003-09-19T00:00:00"/>
    <n v="22.397222222222222"/>
    <x v="1"/>
    <x v="1"/>
    <x v="4"/>
    <s v="Cairo"/>
    <d v="2022-11-15T00:00:00"/>
    <n v="3.2416666666666667"/>
    <n v="3897"/>
    <x v="5"/>
    <x v="1"/>
  </r>
  <r>
    <n v="55559"/>
    <s v="Emp 158"/>
    <s v="30303210176346"/>
    <x v="3"/>
    <x v="1"/>
    <d v="2003-03-21T00:00:00"/>
    <n v="22.891666666666666"/>
    <x v="1"/>
    <x v="1"/>
    <x v="2"/>
    <s v="Cairo"/>
    <d v="2022-11-16T00:00:00"/>
    <n v="3.2388888888888889"/>
    <n v="4851"/>
    <x v="5"/>
    <x v="1"/>
  </r>
  <r>
    <n v="54936"/>
    <s v="Emp 159"/>
    <s v="30308280161214"/>
    <x v="9"/>
    <x v="0"/>
    <d v="2003-08-28T00:00:00"/>
    <n v="22.455555555555556"/>
    <x v="1"/>
    <x v="1"/>
    <x v="3"/>
    <s v="Cairo"/>
    <d v="2022-11-17T00:00:00"/>
    <n v="3.2361111111111112"/>
    <n v="4729"/>
    <x v="5"/>
    <x v="1"/>
  </r>
  <r>
    <n v="57928"/>
    <s v="Emp 160"/>
    <s v="30302090177046"/>
    <x v="3"/>
    <x v="1"/>
    <d v="2003-02-09T00:00:00"/>
    <n v="23.008333333333333"/>
    <x v="1"/>
    <x v="1"/>
    <x v="2"/>
    <s v="Cairo"/>
    <d v="2022-11-18T00:00:00"/>
    <n v="3.2333333333333334"/>
    <n v="6341"/>
    <x v="5"/>
    <x v="0"/>
  </r>
  <r>
    <n v="55753"/>
    <s v="Emp 161"/>
    <s v="30312140153844"/>
    <x v="7"/>
    <x v="1"/>
    <d v="2003-12-14T00:00:00"/>
    <n v="22.161111111111111"/>
    <x v="1"/>
    <x v="1"/>
    <x v="2"/>
    <s v="Cairo"/>
    <d v="2022-11-19T00:00:00"/>
    <n v="3.2305555555555556"/>
    <n v="6906"/>
    <x v="5"/>
    <x v="0"/>
  </r>
  <r>
    <n v="56671"/>
    <s v="Emp 162"/>
    <s v="30311140154249"/>
    <x v="3"/>
    <x v="1"/>
    <d v="2003-11-14T00:00:00"/>
    <n v="22.244444444444444"/>
    <x v="1"/>
    <x v="1"/>
    <x v="1"/>
    <s v="Cairo"/>
    <d v="2022-11-20T00:00:00"/>
    <n v="3.2277777777777779"/>
    <n v="5811"/>
    <x v="5"/>
    <x v="1"/>
  </r>
  <r>
    <n v="50055"/>
    <s v="Emp 163"/>
    <s v="30306130164145"/>
    <x v="8"/>
    <x v="1"/>
    <d v="2003-06-13T00:00:00"/>
    <n v="22.663888888888888"/>
    <x v="0"/>
    <x v="1"/>
    <x v="4"/>
    <s v="Cairo"/>
    <d v="2022-11-21T00:00:00"/>
    <n v="3.2250000000000001"/>
    <n v="3624"/>
    <x v="5"/>
    <x v="1"/>
  </r>
  <r>
    <n v="57707"/>
    <s v="Emp 164"/>
    <s v="30311150158276"/>
    <x v="0"/>
    <x v="0"/>
    <d v="2003-11-15T00:00:00"/>
    <n v="22.241666666666667"/>
    <x v="0"/>
    <x v="0"/>
    <x v="2"/>
    <s v="Cairo"/>
    <d v="2022-11-22T00:00:00"/>
    <n v="3.2222222222222223"/>
    <n v="20332"/>
    <x v="5"/>
    <x v="0"/>
  </r>
  <r>
    <n v="59064"/>
    <s v="Emp 165"/>
    <s v="30303160165071"/>
    <x v="4"/>
    <x v="0"/>
    <d v="2003-03-16T00:00:00"/>
    <n v="22.905555555555555"/>
    <x v="1"/>
    <x v="2"/>
    <x v="2"/>
    <s v="Cairo"/>
    <d v="2022-11-23T00:00:00"/>
    <n v="3.2194444444444446"/>
    <n v="13702"/>
    <x v="5"/>
    <x v="0"/>
  </r>
  <r>
    <n v="53159"/>
    <s v="Emp 166"/>
    <s v="30306200153299"/>
    <x v="5"/>
    <x v="0"/>
    <d v="2003-06-20T00:00:00"/>
    <n v="22.644444444444446"/>
    <x v="0"/>
    <x v="1"/>
    <x v="0"/>
    <s v="Cairo"/>
    <d v="2022-11-24T00:00:00"/>
    <n v="3.2166666666666668"/>
    <n v="6781"/>
    <x v="5"/>
    <x v="0"/>
  </r>
  <r>
    <n v="57529"/>
    <s v="Emp 167"/>
    <s v="30302020168953"/>
    <x v="0"/>
    <x v="0"/>
    <d v="2003-02-02T00:00:00"/>
    <n v="23.027777777777779"/>
    <x v="0"/>
    <x v="1"/>
    <x v="4"/>
    <s v="Cairo"/>
    <d v="2022-11-25T00:00:00"/>
    <n v="3.213888888888889"/>
    <n v="3054"/>
    <x v="5"/>
    <x v="1"/>
  </r>
  <r>
    <n v="56812"/>
    <s v="Emp 168"/>
    <s v="30311280191158"/>
    <x v="4"/>
    <x v="0"/>
    <d v="2003-11-28T00:00:00"/>
    <n v="22.205555555555556"/>
    <x v="0"/>
    <x v="1"/>
    <x v="2"/>
    <s v="Cairo"/>
    <d v="2022-11-26T00:00:00"/>
    <n v="3.2111111111111112"/>
    <n v="5141"/>
    <x v="5"/>
    <x v="1"/>
  </r>
  <r>
    <n v="56509"/>
    <s v="Emp 169"/>
    <s v="30312150152173"/>
    <x v="2"/>
    <x v="0"/>
    <d v="2003-12-15T00:00:00"/>
    <n v="22.158333333333335"/>
    <x v="0"/>
    <x v="0"/>
    <x v="4"/>
    <s v="Cairo"/>
    <d v="2022-11-27T00:00:00"/>
    <n v="3.2083333333333335"/>
    <n v="27462"/>
    <x v="5"/>
    <x v="0"/>
  </r>
  <r>
    <n v="55886"/>
    <s v="Emp 170"/>
    <s v="30305240191077"/>
    <x v="2"/>
    <x v="0"/>
    <d v="2003-05-24T00:00:00"/>
    <n v="22.716666666666665"/>
    <x v="0"/>
    <x v="1"/>
    <x v="4"/>
    <s v="Cairo"/>
    <d v="2022-11-28T00:00:00"/>
    <n v="3.2055555555555557"/>
    <n v="4663"/>
    <x v="5"/>
    <x v="1"/>
  </r>
  <r>
    <n v="54172"/>
    <s v="Emp 171"/>
    <s v="30310010165754"/>
    <x v="3"/>
    <x v="0"/>
    <d v="2003-10-01T00:00:00"/>
    <n v="22.363888888888887"/>
    <x v="1"/>
    <x v="1"/>
    <x v="2"/>
    <s v="Cairo"/>
    <d v="2022-11-29T00:00:00"/>
    <n v="3.2027777777777779"/>
    <n v="3298"/>
    <x v="5"/>
    <x v="1"/>
  </r>
  <r>
    <n v="51287"/>
    <s v="Emp 172"/>
    <s v="30301090186038"/>
    <x v="6"/>
    <x v="0"/>
    <d v="2003-01-09T00:00:00"/>
    <n v="23.091666666666665"/>
    <x v="1"/>
    <x v="1"/>
    <x v="0"/>
    <s v="Cairo"/>
    <d v="2022-11-30T00:00:00"/>
    <n v="3.2"/>
    <n v="3746"/>
    <x v="5"/>
    <x v="1"/>
  </r>
  <r>
    <n v="53493"/>
    <s v="Emp 173"/>
    <s v="30301120181273"/>
    <x v="3"/>
    <x v="0"/>
    <d v="2003-01-12T00:00:00"/>
    <n v="23.083333333333332"/>
    <x v="1"/>
    <x v="2"/>
    <x v="4"/>
    <s v="Cairo"/>
    <d v="2022-12-01T00:00:00"/>
    <n v="3.1972222222222224"/>
    <n v="11869"/>
    <x v="6"/>
    <x v="0"/>
  </r>
  <r>
    <n v="59702"/>
    <s v="Emp 174"/>
    <s v="30308240159472"/>
    <x v="0"/>
    <x v="0"/>
    <d v="2003-08-24T00:00:00"/>
    <n v="22.466666666666665"/>
    <x v="0"/>
    <x v="0"/>
    <x v="2"/>
    <s v="Cairo"/>
    <d v="2022-12-02T00:00:00"/>
    <n v="3.1944444444444446"/>
    <n v="18667"/>
    <x v="6"/>
    <x v="0"/>
  </r>
  <r>
    <n v="56658"/>
    <s v="Emp 175"/>
    <s v="30310280157339"/>
    <x v="6"/>
    <x v="0"/>
    <d v="2003-10-28T00:00:00"/>
    <n v="22.288888888888888"/>
    <x v="1"/>
    <x v="1"/>
    <x v="4"/>
    <s v="Cairo"/>
    <d v="2022-12-03T00:00:00"/>
    <n v="3.1916666666666669"/>
    <n v="6822"/>
    <x v="6"/>
    <x v="0"/>
  </r>
  <r>
    <n v="55515"/>
    <s v="Emp 176"/>
    <s v="30308020189071"/>
    <x v="0"/>
    <x v="0"/>
    <d v="2003-08-02T00:00:00"/>
    <n v="22.527777777777779"/>
    <x v="0"/>
    <x v="2"/>
    <x v="2"/>
    <s v="Cairo"/>
    <d v="2022-12-04T00:00:00"/>
    <n v="3.1888888888888891"/>
    <n v="10566"/>
    <x v="6"/>
    <x v="0"/>
  </r>
  <r>
    <n v="52026"/>
    <s v="Emp 177"/>
    <s v="30312150163619"/>
    <x v="4"/>
    <x v="0"/>
    <d v="2003-12-15T00:00:00"/>
    <n v="22.158333333333335"/>
    <x v="0"/>
    <x v="1"/>
    <x v="2"/>
    <s v="Cairo"/>
    <d v="2022-12-05T00:00:00"/>
    <n v="3.1861111111111109"/>
    <n v="5813"/>
    <x v="6"/>
    <x v="1"/>
  </r>
  <r>
    <n v="59712"/>
    <s v="Emp 178"/>
    <s v="30304070174378"/>
    <x v="2"/>
    <x v="0"/>
    <d v="2003-04-07T00:00:00"/>
    <n v="22.847222222222221"/>
    <x v="1"/>
    <x v="1"/>
    <x v="0"/>
    <s v="Cairo"/>
    <d v="2022-12-06T00:00:00"/>
    <n v="3.1833333333333331"/>
    <n v="6886"/>
    <x v="6"/>
    <x v="0"/>
  </r>
  <r>
    <n v="50379"/>
    <s v="Emp 179"/>
    <s v="30302020183919"/>
    <x v="5"/>
    <x v="0"/>
    <d v="2003-02-02T00:00:00"/>
    <n v="23.027777777777779"/>
    <x v="0"/>
    <x v="0"/>
    <x v="4"/>
    <s v="Cairo"/>
    <d v="2022-12-07T00:00:00"/>
    <n v="3.1805555555555554"/>
    <n v="19299"/>
    <x v="6"/>
    <x v="0"/>
  </r>
  <r>
    <n v="52832"/>
    <s v="Emp 180"/>
    <s v="30302250187676"/>
    <x v="8"/>
    <x v="0"/>
    <d v="2003-02-25T00:00:00"/>
    <n v="22.963888888888889"/>
    <x v="1"/>
    <x v="1"/>
    <x v="4"/>
    <s v="Cairo"/>
    <d v="2022-12-08T00:00:00"/>
    <n v="3.1777777777777776"/>
    <n v="5680"/>
    <x v="6"/>
    <x v="1"/>
  </r>
  <r>
    <n v="52550"/>
    <s v="Emp 181"/>
    <s v="30309280186859"/>
    <x v="7"/>
    <x v="0"/>
    <d v="2003-09-28T00:00:00"/>
    <n v="22.372222222222224"/>
    <x v="1"/>
    <x v="0"/>
    <x v="3"/>
    <s v="Cairo"/>
    <d v="2022-12-09T00:00:00"/>
    <n v="3.1749999999999998"/>
    <n v="23973"/>
    <x v="6"/>
    <x v="0"/>
  </r>
  <r>
    <n v="55897"/>
    <s v="Emp 182"/>
    <s v="30311040173176"/>
    <x v="4"/>
    <x v="0"/>
    <d v="2003-11-04T00:00:00"/>
    <n v="22.272222222222222"/>
    <x v="1"/>
    <x v="2"/>
    <x v="0"/>
    <s v="Cairo"/>
    <d v="2022-12-10T00:00:00"/>
    <n v="3.1722222222222221"/>
    <n v="10547"/>
    <x v="6"/>
    <x v="0"/>
  </r>
  <r>
    <n v="55408"/>
    <s v="Emp 183"/>
    <s v="30308150156913"/>
    <x v="4"/>
    <x v="0"/>
    <d v="2003-08-15T00:00:00"/>
    <n v="22.491666666666667"/>
    <x v="0"/>
    <x v="1"/>
    <x v="3"/>
    <s v="Cairo"/>
    <d v="2022-12-11T00:00:00"/>
    <n v="3.1694444444444443"/>
    <n v="4339"/>
    <x v="6"/>
    <x v="1"/>
  </r>
  <r>
    <n v="57635"/>
    <s v="Emp 184"/>
    <s v="30310260174735"/>
    <x v="4"/>
    <x v="0"/>
    <d v="2003-10-26T00:00:00"/>
    <n v="22.294444444444444"/>
    <x v="0"/>
    <x v="0"/>
    <x v="2"/>
    <s v="Cairo"/>
    <d v="2022-12-12T00:00:00"/>
    <n v="3.1666666666666665"/>
    <n v="29179"/>
    <x v="6"/>
    <x v="0"/>
  </r>
  <r>
    <n v="52248"/>
    <s v="Emp 185"/>
    <s v="30307180190277"/>
    <x v="4"/>
    <x v="0"/>
    <d v="2003-07-18T00:00:00"/>
    <n v="22.566666666666666"/>
    <x v="0"/>
    <x v="0"/>
    <x v="2"/>
    <s v="Cairo"/>
    <d v="2022-12-13T00:00:00"/>
    <n v="3.1638888888888888"/>
    <n v="25361"/>
    <x v="6"/>
    <x v="0"/>
  </r>
  <r>
    <n v="56358"/>
    <s v="Emp 186"/>
    <s v="30312250177332"/>
    <x v="5"/>
    <x v="0"/>
    <d v="2003-12-25T00:00:00"/>
    <n v="22.130555555555556"/>
    <x v="0"/>
    <x v="0"/>
    <x v="1"/>
    <s v="Cairo"/>
    <d v="2022-12-14T00:00:00"/>
    <n v="3.161111111111111"/>
    <n v="24463"/>
    <x v="6"/>
    <x v="0"/>
  </r>
  <r>
    <n v="57410"/>
    <s v="Emp 187"/>
    <s v="30304080168596"/>
    <x v="0"/>
    <x v="0"/>
    <d v="2003-04-08T00:00:00"/>
    <n v="22.844444444444445"/>
    <x v="1"/>
    <x v="2"/>
    <x v="0"/>
    <s v="Cairo"/>
    <d v="2022-12-15T00:00:00"/>
    <n v="3.1583333333333332"/>
    <n v="10684"/>
    <x v="6"/>
    <x v="0"/>
  </r>
  <r>
    <n v="56278"/>
    <s v="Emp 188"/>
    <s v="30301030161057"/>
    <x v="3"/>
    <x v="0"/>
    <d v="2003-01-03T00:00:00"/>
    <n v="23.108333333333334"/>
    <x v="0"/>
    <x v="0"/>
    <x v="0"/>
    <s v="Cairo"/>
    <d v="2022-12-16T00:00:00"/>
    <n v="3.1555555555555554"/>
    <n v="28950"/>
    <x v="6"/>
    <x v="0"/>
  </r>
  <r>
    <n v="50080"/>
    <s v="Emp 189"/>
    <s v="30304050162673"/>
    <x v="5"/>
    <x v="0"/>
    <d v="2003-04-05T00:00:00"/>
    <n v="22.852777777777778"/>
    <x v="0"/>
    <x v="1"/>
    <x v="1"/>
    <s v="Cairo"/>
    <d v="2022-12-17T00:00:00"/>
    <n v="3.1527777777777777"/>
    <n v="4979"/>
    <x v="6"/>
    <x v="1"/>
  </r>
  <r>
    <n v="55701"/>
    <s v="Emp 190"/>
    <s v="30306160170775"/>
    <x v="8"/>
    <x v="0"/>
    <d v="2003-06-16T00:00:00"/>
    <n v="22.655555555555555"/>
    <x v="0"/>
    <x v="2"/>
    <x v="3"/>
    <s v="Cairo"/>
    <d v="2022-12-18T00:00:00"/>
    <n v="3.15"/>
    <n v="12572"/>
    <x v="6"/>
    <x v="0"/>
  </r>
  <r>
    <n v="55890"/>
    <s v="Emp 191"/>
    <s v="29708170177434"/>
    <x v="9"/>
    <x v="0"/>
    <d v="1997-08-17T00:00:00"/>
    <n v="28.486111111111111"/>
    <x v="0"/>
    <x v="1"/>
    <x v="2"/>
    <s v="Cairo"/>
    <d v="2022-12-19T00:00:00"/>
    <n v="3.1472222222222221"/>
    <n v="3985"/>
    <x v="6"/>
    <x v="1"/>
  </r>
  <r>
    <n v="55700"/>
    <s v="Emp 192"/>
    <s v="29510200153599"/>
    <x v="7"/>
    <x v="0"/>
    <d v="1995-10-20T00:00:00"/>
    <n v="30.31111111111111"/>
    <x v="1"/>
    <x v="1"/>
    <x v="0"/>
    <s v="Cairo"/>
    <d v="2022-12-20T00:00:00"/>
    <n v="3.1444444444444444"/>
    <n v="3223"/>
    <x v="6"/>
    <x v="1"/>
  </r>
  <r>
    <n v="59398"/>
    <s v="Emp 193"/>
    <s v="30305100183796"/>
    <x v="4"/>
    <x v="0"/>
    <d v="2003-05-10T00:00:00"/>
    <n v="22.755555555555556"/>
    <x v="1"/>
    <x v="1"/>
    <x v="0"/>
    <s v="Cairo"/>
    <d v="2022-12-21T00:00:00"/>
    <n v="3.1416666666666666"/>
    <n v="4591"/>
    <x v="6"/>
    <x v="1"/>
  </r>
  <r>
    <n v="58232"/>
    <s v="Emp 194"/>
    <s v="30101140171798"/>
    <x v="4"/>
    <x v="0"/>
    <d v="2001-01-14T00:00:00"/>
    <n v="25.077777777777779"/>
    <x v="0"/>
    <x v="1"/>
    <x v="2"/>
    <s v="Cairo"/>
    <d v="2022-12-22T00:00:00"/>
    <n v="3.1388888888888888"/>
    <n v="3416"/>
    <x v="6"/>
    <x v="1"/>
  </r>
  <r>
    <n v="58846"/>
    <s v="Emp 195"/>
    <s v="29406090170077"/>
    <x v="9"/>
    <x v="0"/>
    <d v="1994-06-09T00:00:00"/>
    <n v="31.675000000000001"/>
    <x v="0"/>
    <x v="1"/>
    <x v="4"/>
    <s v="Cairo"/>
    <d v="2022-12-23T00:00:00"/>
    <n v="3.1361111111111111"/>
    <n v="4255"/>
    <x v="6"/>
    <x v="1"/>
  </r>
  <r>
    <n v="51668"/>
    <s v="Emp 196"/>
    <s v="30307130177133"/>
    <x v="3"/>
    <x v="0"/>
    <d v="2003-07-13T00:00:00"/>
    <n v="22.580555555555556"/>
    <x v="1"/>
    <x v="1"/>
    <x v="0"/>
    <s v="Cairo"/>
    <d v="2022-12-24T00:00:00"/>
    <n v="3.1333333333333333"/>
    <n v="5492"/>
    <x v="6"/>
    <x v="1"/>
  </r>
  <r>
    <n v="57543"/>
    <s v="Emp 197"/>
    <s v="30207140188674"/>
    <x v="8"/>
    <x v="0"/>
    <d v="2002-07-14T00:00:00"/>
    <n v="23.577777777777779"/>
    <x v="0"/>
    <x v="1"/>
    <x v="1"/>
    <s v="Cairo"/>
    <d v="2022-12-25T00:00:00"/>
    <n v="3.1305555555555555"/>
    <n v="3114"/>
    <x v="6"/>
    <x v="1"/>
  </r>
  <r>
    <n v="56856"/>
    <s v="Emp 198"/>
    <s v="28406080180076"/>
    <x v="2"/>
    <x v="0"/>
    <d v="1984-06-08T00:00:00"/>
    <n v="41.677777777777777"/>
    <x v="1"/>
    <x v="1"/>
    <x v="0"/>
    <s v="Cairo"/>
    <d v="2022-12-26T00:00:00"/>
    <n v="3.1277777777777778"/>
    <n v="5946"/>
    <x v="6"/>
    <x v="1"/>
  </r>
  <r>
    <n v="52673"/>
    <s v="Emp 199"/>
    <s v="29101230161512"/>
    <x v="6"/>
    <x v="0"/>
    <d v="1991-01-23T00:00:00"/>
    <n v="35.052777777777777"/>
    <x v="1"/>
    <x v="2"/>
    <x v="4"/>
    <s v="Cairo"/>
    <d v="2022-12-27T00:00:00"/>
    <n v="3.125"/>
    <n v="11324"/>
    <x v="6"/>
    <x v="0"/>
  </r>
  <r>
    <n v="57061"/>
    <s v="Emp 200"/>
    <s v="30204090158794"/>
    <x v="5"/>
    <x v="0"/>
    <d v="2002-04-09T00:00:00"/>
    <n v="23.841666666666665"/>
    <x v="1"/>
    <x v="1"/>
    <x v="3"/>
    <s v="Cairo"/>
    <d v="2022-12-28T00:00:00"/>
    <n v="3.1222222222222222"/>
    <n v="4950"/>
    <x v="6"/>
    <x v="1"/>
  </r>
  <r>
    <n v="56886"/>
    <s v="Emp 201"/>
    <s v="29202050174696"/>
    <x v="6"/>
    <x v="0"/>
    <d v="1992-02-05T00:00:00"/>
    <n v="34.019444444444446"/>
    <x v="0"/>
    <x v="1"/>
    <x v="0"/>
    <s v="Cairo"/>
    <d v="2022-12-29T00:00:00"/>
    <n v="3.1194444444444445"/>
    <n v="5135"/>
    <x v="6"/>
    <x v="1"/>
  </r>
  <r>
    <n v="55239"/>
    <s v="Emp 202"/>
    <s v="28206150187473"/>
    <x v="6"/>
    <x v="0"/>
    <d v="1982-06-15T00:00:00"/>
    <n v="43.658333333333331"/>
    <x v="0"/>
    <x v="1"/>
    <x v="4"/>
    <s v="Cairo"/>
    <d v="2022-12-30T00:00:00"/>
    <n v="3.1166666666666667"/>
    <n v="4862"/>
    <x v="6"/>
    <x v="1"/>
  </r>
  <r>
    <n v="52195"/>
    <s v="Emp 203"/>
    <s v="30202170180875"/>
    <x v="4"/>
    <x v="0"/>
    <d v="2002-02-17T00:00:00"/>
    <n v="23.986111111111111"/>
    <x v="1"/>
    <x v="1"/>
    <x v="0"/>
    <s v="Cairo"/>
    <d v="2022-12-31T00:00:00"/>
    <n v="3.1166666666666667"/>
    <n v="3272"/>
    <x v="6"/>
    <x v="1"/>
  </r>
  <r>
    <n v="59118"/>
    <s v="Emp 204"/>
    <s v="30202010177813"/>
    <x v="4"/>
    <x v="0"/>
    <d v="2002-02-01T00:00:00"/>
    <n v="24.030555555555555"/>
    <x v="1"/>
    <x v="1"/>
    <x v="4"/>
    <s v="Cairo"/>
    <d v="2023-01-01T00:00:00"/>
    <n v="3.1138888888888889"/>
    <n v="5375"/>
    <x v="7"/>
    <x v="1"/>
  </r>
  <r>
    <n v="54492"/>
    <s v="Emp 205"/>
    <s v="30202100168775"/>
    <x v="8"/>
    <x v="0"/>
    <d v="2002-02-10T00:00:00"/>
    <n v="24.005555555555556"/>
    <x v="1"/>
    <x v="1"/>
    <x v="3"/>
    <s v="Cairo"/>
    <d v="2023-01-02T00:00:00"/>
    <n v="3.1111111111111112"/>
    <n v="4503"/>
    <x v="7"/>
    <x v="1"/>
  </r>
  <r>
    <n v="59783"/>
    <s v="Emp 206"/>
    <s v="30202100174093"/>
    <x v="9"/>
    <x v="0"/>
    <d v="2002-02-10T00:00:00"/>
    <n v="24.005555555555556"/>
    <x v="0"/>
    <x v="1"/>
    <x v="0"/>
    <s v="Cairo"/>
    <d v="2023-01-03T00:00:00"/>
    <n v="3.1083333333333334"/>
    <n v="4699"/>
    <x v="7"/>
    <x v="1"/>
  </r>
  <r>
    <n v="59921"/>
    <s v="Emp 207"/>
    <s v="30209050157912"/>
    <x v="1"/>
    <x v="0"/>
    <d v="2002-09-05T00:00:00"/>
    <n v="23.43611111111111"/>
    <x v="0"/>
    <x v="2"/>
    <x v="1"/>
    <s v="Cairo"/>
    <d v="2023-01-04T00:00:00"/>
    <n v="3.1055555555555556"/>
    <n v="10605"/>
    <x v="7"/>
    <x v="0"/>
  </r>
  <r>
    <n v="53765"/>
    <s v="Emp 208"/>
    <s v="30211140189572"/>
    <x v="3"/>
    <x v="0"/>
    <d v="2002-11-14T00:00:00"/>
    <n v="23.244444444444444"/>
    <x v="1"/>
    <x v="1"/>
    <x v="0"/>
    <s v="Cairo"/>
    <d v="2023-01-05T00:00:00"/>
    <n v="3.1027777777777779"/>
    <n v="3137"/>
    <x v="7"/>
    <x v="1"/>
  </r>
  <r>
    <n v="59836"/>
    <s v="Emp 209"/>
    <s v="30203040174854"/>
    <x v="4"/>
    <x v="0"/>
    <d v="2002-03-04T00:00:00"/>
    <n v="23.93888888888889"/>
    <x v="0"/>
    <x v="1"/>
    <x v="2"/>
    <s v="Cairo"/>
    <d v="2023-01-06T00:00:00"/>
    <n v="3.1"/>
    <n v="3812"/>
    <x v="7"/>
    <x v="1"/>
  </r>
  <r>
    <n v="54468"/>
    <s v="Emp 210"/>
    <s v="28210010187374"/>
    <x v="2"/>
    <x v="0"/>
    <d v="1982-10-01T00:00:00"/>
    <n v="43.363888888888887"/>
    <x v="0"/>
    <x v="1"/>
    <x v="3"/>
    <s v="Cairo"/>
    <d v="2023-01-07T00:00:00"/>
    <n v="3.0972222222222223"/>
    <n v="5604"/>
    <x v="7"/>
    <x v="1"/>
  </r>
  <r>
    <n v="58658"/>
    <s v="Emp 211"/>
    <s v="28506130159019"/>
    <x v="4"/>
    <x v="0"/>
    <d v="1985-06-13T00:00:00"/>
    <n v="40.663888888888891"/>
    <x v="1"/>
    <x v="1"/>
    <x v="1"/>
    <s v="Cairo"/>
    <d v="2023-01-08T00:00:00"/>
    <n v="3.0944444444444446"/>
    <n v="3060"/>
    <x v="7"/>
    <x v="1"/>
  </r>
  <r>
    <n v="56342"/>
    <s v="Emp 212"/>
    <s v="29107110178074"/>
    <x v="5"/>
    <x v="0"/>
    <d v="1991-07-11T00:00:00"/>
    <n v="34.586111111111109"/>
    <x v="0"/>
    <x v="0"/>
    <x v="3"/>
    <s v="Cairo"/>
    <d v="2023-01-09T00:00:00"/>
    <n v="3.0916666666666668"/>
    <n v="27026"/>
    <x v="7"/>
    <x v="0"/>
  </r>
  <r>
    <n v="56703"/>
    <s v="Emp 213"/>
    <s v="29307190171099"/>
    <x v="2"/>
    <x v="0"/>
    <d v="1993-07-19T00:00:00"/>
    <n v="32.56388888888889"/>
    <x v="1"/>
    <x v="1"/>
    <x v="1"/>
    <s v="Cairo"/>
    <d v="2023-01-10T00:00:00"/>
    <n v="3.088888888888889"/>
    <n v="4321"/>
    <x v="7"/>
    <x v="1"/>
  </r>
  <r>
    <n v="51614"/>
    <s v="Emp 214"/>
    <s v="28602220157717"/>
    <x v="3"/>
    <x v="0"/>
    <d v="1986-02-22T00:00:00"/>
    <n v="39.972222222222221"/>
    <x v="1"/>
    <x v="2"/>
    <x v="0"/>
    <s v="Cairo"/>
    <d v="2023-01-11T00:00:00"/>
    <n v="3.0861111111111112"/>
    <n v="14857"/>
    <x v="7"/>
    <x v="0"/>
  </r>
  <r>
    <n v="56240"/>
    <s v="Emp 215"/>
    <s v="29105180173756"/>
    <x v="2"/>
    <x v="0"/>
    <d v="1991-05-18T00:00:00"/>
    <n v="34.733333333333334"/>
    <x v="1"/>
    <x v="1"/>
    <x v="1"/>
    <s v="Cairo"/>
    <d v="2023-01-12T00:00:00"/>
    <n v="3.0833333333333335"/>
    <n v="6135"/>
    <x v="7"/>
    <x v="0"/>
  </r>
  <r>
    <n v="55870"/>
    <s v="Emp 216"/>
    <s v="28710270173571"/>
    <x v="9"/>
    <x v="0"/>
    <d v="1987-10-27T00:00:00"/>
    <n v="38.291666666666664"/>
    <x v="1"/>
    <x v="1"/>
    <x v="1"/>
    <s v="Cairo"/>
    <d v="2023-01-13T00:00:00"/>
    <n v="3.0805555555555557"/>
    <n v="6055"/>
    <x v="7"/>
    <x v="0"/>
  </r>
  <r>
    <n v="51060"/>
    <s v="Emp 217"/>
    <s v="30004270153273"/>
    <x v="9"/>
    <x v="0"/>
    <d v="2000-04-27T00:00:00"/>
    <n v="25.791666666666668"/>
    <x v="0"/>
    <x v="2"/>
    <x v="4"/>
    <s v="Cairo"/>
    <d v="2023-01-14T00:00:00"/>
    <n v="3.0777777777777779"/>
    <n v="14145"/>
    <x v="7"/>
    <x v="0"/>
  </r>
  <r>
    <n v="51768"/>
    <s v="Emp 218"/>
    <s v="29507140186574"/>
    <x v="6"/>
    <x v="0"/>
    <d v="1995-07-14T00:00:00"/>
    <n v="30.577777777777779"/>
    <x v="1"/>
    <x v="1"/>
    <x v="2"/>
    <s v="Cairo"/>
    <d v="2023-01-15T00:00:00"/>
    <n v="3.0750000000000002"/>
    <n v="4081"/>
    <x v="7"/>
    <x v="1"/>
  </r>
  <r>
    <n v="58544"/>
    <s v="Emp 219"/>
    <s v="29602260188779"/>
    <x v="0"/>
    <x v="0"/>
    <d v="1996-02-26T00:00:00"/>
    <n v="29.961111111111112"/>
    <x v="1"/>
    <x v="1"/>
    <x v="3"/>
    <s v="Cairo"/>
    <d v="2023-01-16T00:00:00"/>
    <n v="3.0722222222222224"/>
    <n v="3694"/>
    <x v="7"/>
    <x v="1"/>
  </r>
  <r>
    <n v="58242"/>
    <s v="Emp 220"/>
    <s v="28302230172674"/>
    <x v="0"/>
    <x v="0"/>
    <d v="1983-02-23T00:00:00"/>
    <n v="42.969444444444441"/>
    <x v="0"/>
    <x v="1"/>
    <x v="0"/>
    <s v="Cairo"/>
    <d v="2023-01-17T00:00:00"/>
    <n v="3.0694444444444446"/>
    <n v="4454"/>
    <x v="7"/>
    <x v="1"/>
  </r>
  <r>
    <n v="50625"/>
    <s v="Emp 221"/>
    <s v="28309100162198"/>
    <x v="6"/>
    <x v="0"/>
    <d v="1983-09-10T00:00:00"/>
    <n v="42.422222222222224"/>
    <x v="1"/>
    <x v="0"/>
    <x v="1"/>
    <s v="Cairo"/>
    <d v="2023-01-18T00:00:00"/>
    <n v="3.0666666666666669"/>
    <n v="25462"/>
    <x v="7"/>
    <x v="0"/>
  </r>
  <r>
    <n v="50998"/>
    <s v="Emp 222"/>
    <s v="30008180174173"/>
    <x v="4"/>
    <x v="0"/>
    <d v="2000-08-18T00:00:00"/>
    <n v="25.483333333333334"/>
    <x v="0"/>
    <x v="1"/>
    <x v="3"/>
    <s v="Cairo"/>
    <d v="2023-01-19T00:00:00"/>
    <n v="3.0638888888888891"/>
    <n v="5384"/>
    <x v="7"/>
    <x v="1"/>
  </r>
  <r>
    <n v="50124"/>
    <s v="Emp 223"/>
    <s v="29312200159071"/>
    <x v="4"/>
    <x v="0"/>
    <d v="1993-12-20T00:00:00"/>
    <n v="32.144444444444446"/>
    <x v="0"/>
    <x v="1"/>
    <x v="0"/>
    <s v="Cairo"/>
    <d v="2023-01-20T00:00:00"/>
    <n v="3.0611111111111109"/>
    <n v="6808"/>
    <x v="7"/>
    <x v="0"/>
  </r>
  <r>
    <n v="57210"/>
    <s v="Emp 224"/>
    <s v="28910110176477"/>
    <x v="9"/>
    <x v="0"/>
    <d v="1989-10-11T00:00:00"/>
    <n v="36.336111111111109"/>
    <x v="1"/>
    <x v="1"/>
    <x v="3"/>
    <s v="Cairo"/>
    <d v="2023-01-21T00:00:00"/>
    <n v="3.0583333333333331"/>
    <n v="6526"/>
    <x v="7"/>
    <x v="0"/>
  </r>
  <r>
    <n v="53552"/>
    <s v="Emp 225"/>
    <s v="28602220159612"/>
    <x v="5"/>
    <x v="0"/>
    <d v="1986-02-22T00:00:00"/>
    <n v="39.972222222222221"/>
    <x v="1"/>
    <x v="1"/>
    <x v="4"/>
    <s v="Cairo"/>
    <d v="2023-01-22T00:00:00"/>
    <n v="3.0555555555555554"/>
    <n v="3153"/>
    <x v="7"/>
    <x v="1"/>
  </r>
  <r>
    <n v="56291"/>
    <s v="Emp 226"/>
    <s v="29804270186075"/>
    <x v="0"/>
    <x v="0"/>
    <d v="1998-04-27T00:00:00"/>
    <n v="27.791666666666668"/>
    <x v="1"/>
    <x v="1"/>
    <x v="0"/>
    <s v="Cairo"/>
    <d v="2023-01-23T00:00:00"/>
    <n v="3.0527777777777776"/>
    <n v="4466"/>
    <x v="7"/>
    <x v="1"/>
  </r>
  <r>
    <n v="52969"/>
    <s v="Emp 227"/>
    <s v="30312030152255"/>
    <x v="7"/>
    <x v="0"/>
    <d v="2003-12-03T00:00:00"/>
    <n v="22.191666666666666"/>
    <x v="0"/>
    <x v="1"/>
    <x v="3"/>
    <s v="Cairo"/>
    <d v="2023-01-24T00:00:00"/>
    <n v="3.05"/>
    <n v="6677"/>
    <x v="7"/>
    <x v="0"/>
  </r>
  <r>
    <n v="59768"/>
    <s v="Emp 228"/>
    <s v="30303150160837"/>
    <x v="2"/>
    <x v="0"/>
    <d v="2003-03-15T00:00:00"/>
    <n v="22.908333333333335"/>
    <x v="1"/>
    <x v="1"/>
    <x v="3"/>
    <s v="Cairo"/>
    <d v="2023-01-25T00:00:00"/>
    <n v="3.0472222222222221"/>
    <n v="4439"/>
    <x v="7"/>
    <x v="1"/>
  </r>
  <r>
    <n v="55946"/>
    <s v="Emp 229"/>
    <s v="30307010168299"/>
    <x v="2"/>
    <x v="0"/>
    <d v="2003-07-01T00:00:00"/>
    <n v="22.613888888888887"/>
    <x v="1"/>
    <x v="2"/>
    <x v="1"/>
    <s v="Cairo"/>
    <d v="2023-01-26T00:00:00"/>
    <n v="3.0444444444444443"/>
    <n v="14646"/>
    <x v="7"/>
    <x v="0"/>
  </r>
  <r>
    <n v="51193"/>
    <s v="Emp 230"/>
    <s v="30311030184117"/>
    <x v="6"/>
    <x v="0"/>
    <d v="2003-11-03T00:00:00"/>
    <n v="22.274999999999999"/>
    <x v="0"/>
    <x v="1"/>
    <x v="4"/>
    <s v="Cairo"/>
    <d v="2023-01-27T00:00:00"/>
    <n v="3.0416666666666665"/>
    <n v="5147"/>
    <x v="7"/>
    <x v="1"/>
  </r>
  <r>
    <n v="59470"/>
    <s v="Emp 231"/>
    <s v="30303010169157"/>
    <x v="3"/>
    <x v="0"/>
    <d v="2003-03-01T00:00:00"/>
    <n v="22.947222222222223"/>
    <x v="0"/>
    <x v="0"/>
    <x v="1"/>
    <s v="Cairo"/>
    <d v="2023-01-28T00:00:00"/>
    <n v="3.0388888888888888"/>
    <n v="20829"/>
    <x v="7"/>
    <x v="0"/>
  </r>
  <r>
    <n v="50628"/>
    <s v="Emp 232"/>
    <s v="30303180177276"/>
    <x v="0"/>
    <x v="0"/>
    <d v="2003-03-18T00:00:00"/>
    <n v="22.9"/>
    <x v="1"/>
    <x v="1"/>
    <x v="0"/>
    <s v="Cairo"/>
    <d v="2023-01-29T00:00:00"/>
    <n v="3.036111111111111"/>
    <n v="6498"/>
    <x v="7"/>
    <x v="0"/>
  </r>
  <r>
    <n v="55085"/>
    <s v="Emp 233"/>
    <s v="30310130156277"/>
    <x v="9"/>
    <x v="0"/>
    <d v="2003-10-13T00:00:00"/>
    <n v="22.330555555555556"/>
    <x v="0"/>
    <x v="0"/>
    <x v="0"/>
    <s v="Cairo"/>
    <d v="2023-01-30T00:00:00"/>
    <n v="3.0333333333333332"/>
    <n v="26183"/>
    <x v="7"/>
    <x v="0"/>
  </r>
  <r>
    <n v="52445"/>
    <s v="Emp 234"/>
    <s v="30304120178054"/>
    <x v="9"/>
    <x v="0"/>
    <d v="2003-04-12T00:00:00"/>
    <n v="22.833333333333332"/>
    <x v="0"/>
    <x v="1"/>
    <x v="1"/>
    <s v="Cairo"/>
    <d v="2023-01-31T00:00:00"/>
    <n v="3.0333333333333332"/>
    <n v="6861"/>
    <x v="7"/>
    <x v="0"/>
  </r>
  <r>
    <n v="55642"/>
    <s v="Emp 235"/>
    <s v="30304240178874"/>
    <x v="8"/>
    <x v="0"/>
    <d v="2003-04-24T00:00:00"/>
    <n v="22.8"/>
    <x v="1"/>
    <x v="1"/>
    <x v="1"/>
    <s v="Cairo"/>
    <d v="2023-02-01T00:00:00"/>
    <n v="3.0305555555555554"/>
    <n v="3175"/>
    <x v="8"/>
    <x v="1"/>
  </r>
  <r>
    <n v="54059"/>
    <s v="Emp 236"/>
    <s v="30307030166516"/>
    <x v="7"/>
    <x v="0"/>
    <d v="2003-07-03T00:00:00"/>
    <n v="22.608333333333334"/>
    <x v="1"/>
    <x v="1"/>
    <x v="0"/>
    <s v="Cairo"/>
    <d v="2023-02-02T00:00:00"/>
    <n v="3.0277777777777777"/>
    <n v="4992"/>
    <x v="8"/>
    <x v="1"/>
  </r>
  <r>
    <n v="58890"/>
    <s v="Emp 237"/>
    <s v="30301180188176"/>
    <x v="7"/>
    <x v="0"/>
    <d v="2003-01-18T00:00:00"/>
    <n v="23.066666666666666"/>
    <x v="0"/>
    <x v="1"/>
    <x v="4"/>
    <s v="Cairo"/>
    <d v="2023-02-03T00:00:00"/>
    <n v="3.0249999999999999"/>
    <n v="5432"/>
    <x v="8"/>
    <x v="1"/>
  </r>
  <r>
    <n v="57541"/>
    <s v="Emp 238"/>
    <s v="30312160188477"/>
    <x v="5"/>
    <x v="0"/>
    <d v="2003-12-16T00:00:00"/>
    <n v="22.155555555555555"/>
    <x v="0"/>
    <x v="2"/>
    <x v="2"/>
    <s v="Cairo"/>
    <d v="2023-02-04T00:00:00"/>
    <n v="3.0222222222222221"/>
    <n v="12345"/>
    <x v="8"/>
    <x v="0"/>
  </r>
  <r>
    <n v="58741"/>
    <s v="Emp 239"/>
    <s v="30304060170698"/>
    <x v="0"/>
    <x v="0"/>
    <d v="2003-04-06T00:00:00"/>
    <n v="22.85"/>
    <x v="0"/>
    <x v="0"/>
    <x v="1"/>
    <s v="Cairo"/>
    <d v="2023-02-05T00:00:00"/>
    <n v="3.0194444444444444"/>
    <n v="28639"/>
    <x v="8"/>
    <x v="0"/>
  </r>
  <r>
    <n v="53701"/>
    <s v="Emp 240"/>
    <s v="30309190160175"/>
    <x v="0"/>
    <x v="0"/>
    <d v="2003-09-19T00:00:00"/>
    <n v="22.397222222222222"/>
    <x v="1"/>
    <x v="1"/>
    <x v="1"/>
    <s v="Cairo"/>
    <d v="2023-02-06T00:00:00"/>
    <n v="3.0166666666666666"/>
    <n v="4865"/>
    <x v="8"/>
    <x v="1"/>
  </r>
  <r>
    <n v="53351"/>
    <s v="Emp 241"/>
    <s v="30302010163679"/>
    <x v="1"/>
    <x v="0"/>
    <d v="2003-02-01T00:00:00"/>
    <n v="23.030555555555555"/>
    <x v="1"/>
    <x v="1"/>
    <x v="1"/>
    <s v="Cairo"/>
    <d v="2023-02-07T00:00:00"/>
    <n v="3.0138888888888888"/>
    <n v="4238"/>
    <x v="8"/>
    <x v="1"/>
  </r>
  <r>
    <n v="58914"/>
    <s v="Emp 242"/>
    <s v="30308250157577"/>
    <x v="3"/>
    <x v="0"/>
    <d v="2003-08-25T00:00:00"/>
    <n v="22.463888888888889"/>
    <x v="0"/>
    <x v="1"/>
    <x v="1"/>
    <s v="Cairo"/>
    <d v="2023-02-08T00:00:00"/>
    <n v="3.0111111111111111"/>
    <n v="3847"/>
    <x v="8"/>
    <x v="1"/>
  </r>
  <r>
    <n v="51533"/>
    <s v="Emp 243"/>
    <s v="30301200178699"/>
    <x v="0"/>
    <x v="0"/>
    <d v="2003-01-20T00:00:00"/>
    <n v="23.06111111111111"/>
    <x v="0"/>
    <x v="1"/>
    <x v="0"/>
    <s v="Cairo"/>
    <d v="2023-02-09T00:00:00"/>
    <n v="3.0083333333333333"/>
    <n v="5730"/>
    <x v="8"/>
    <x v="1"/>
  </r>
  <r>
    <n v="55525"/>
    <s v="Emp 244"/>
    <s v="30304090156394"/>
    <x v="6"/>
    <x v="0"/>
    <d v="2003-04-09T00:00:00"/>
    <n v="22.841666666666665"/>
    <x v="0"/>
    <x v="1"/>
    <x v="0"/>
    <s v="Cairo"/>
    <d v="2023-02-10T00:00:00"/>
    <n v="3.0055555555555555"/>
    <n v="3025"/>
    <x v="8"/>
    <x v="1"/>
  </r>
  <r>
    <n v="52283"/>
    <s v="Emp 245"/>
    <s v="30303270181072"/>
    <x v="0"/>
    <x v="0"/>
    <d v="2003-03-27T00:00:00"/>
    <n v="22.875"/>
    <x v="0"/>
    <x v="1"/>
    <x v="0"/>
    <s v="Cairo"/>
    <d v="2023-02-11T00:00:00"/>
    <n v="3.0027777777777778"/>
    <n v="6015"/>
    <x v="8"/>
    <x v="0"/>
  </r>
  <r>
    <n v="53118"/>
    <s v="Emp 246"/>
    <s v="30312210181477"/>
    <x v="8"/>
    <x v="0"/>
    <d v="2003-12-21T00:00:00"/>
    <n v="22.141666666666666"/>
    <x v="1"/>
    <x v="1"/>
    <x v="1"/>
    <s v="Cairo"/>
    <d v="2023-02-12T00:00:00"/>
    <n v="3"/>
    <n v="4267"/>
    <x v="8"/>
    <x v="1"/>
  </r>
  <r>
    <n v="50689"/>
    <s v="Emp 247"/>
    <s v="30304010180477"/>
    <x v="8"/>
    <x v="0"/>
    <d v="2003-04-01T00:00:00"/>
    <n v="22.863888888888887"/>
    <x v="1"/>
    <x v="1"/>
    <x v="2"/>
    <s v="Cairo"/>
    <d v="2023-02-13T00:00:00"/>
    <n v="2.9972222222222222"/>
    <n v="4624"/>
    <x v="8"/>
    <x v="1"/>
  </r>
  <r>
    <n v="54806"/>
    <s v="Emp 248"/>
    <s v="30307280159671"/>
    <x v="3"/>
    <x v="0"/>
    <d v="2003-07-28T00:00:00"/>
    <n v="22.538888888888888"/>
    <x v="1"/>
    <x v="1"/>
    <x v="3"/>
    <s v="Cairo"/>
    <d v="2023-02-14T00:00:00"/>
    <n v="2.9944444444444445"/>
    <n v="4161"/>
    <x v="8"/>
    <x v="1"/>
  </r>
  <r>
    <n v="58405"/>
    <s v="Emp 249"/>
    <s v="30312050158635"/>
    <x v="7"/>
    <x v="0"/>
    <d v="2003-12-05T00:00:00"/>
    <n v="22.18611111111111"/>
    <x v="1"/>
    <x v="2"/>
    <x v="4"/>
    <s v="Cairo"/>
    <d v="2023-02-15T00:00:00"/>
    <n v="2.9916666666666667"/>
    <n v="14049"/>
    <x v="8"/>
    <x v="0"/>
  </r>
  <r>
    <n v="57221"/>
    <s v="Emp 250"/>
    <s v="30304040189876"/>
    <x v="4"/>
    <x v="0"/>
    <d v="2003-04-04T00:00:00"/>
    <n v="22.855555555555554"/>
    <x v="0"/>
    <x v="1"/>
    <x v="0"/>
    <s v="Cairo"/>
    <d v="2023-02-16T00:00:00"/>
    <n v="2.9888888888888889"/>
    <n v="4322"/>
    <x v="8"/>
    <x v="1"/>
  </r>
  <r>
    <n v="50801"/>
    <s v="Emp 251"/>
    <s v="30307160152073"/>
    <x v="9"/>
    <x v="0"/>
    <d v="2003-07-16T00:00:00"/>
    <n v="22.572222222222223"/>
    <x v="0"/>
    <x v="1"/>
    <x v="4"/>
    <s v="Cairo"/>
    <d v="2023-02-17T00:00:00"/>
    <n v="2.9861111111111112"/>
    <n v="5263"/>
    <x v="8"/>
    <x v="1"/>
  </r>
  <r>
    <n v="59399"/>
    <s v="Emp 252"/>
    <s v="30312270168071"/>
    <x v="9"/>
    <x v="0"/>
    <d v="2003-12-27T00:00:00"/>
    <n v="22.125"/>
    <x v="1"/>
    <x v="1"/>
    <x v="4"/>
    <s v="Cairo"/>
    <d v="2023-02-18T00:00:00"/>
    <n v="2.9833333333333334"/>
    <n v="3717"/>
    <x v="8"/>
    <x v="1"/>
  </r>
  <r>
    <n v="58634"/>
    <s v="Emp 253"/>
    <s v="30308210172434"/>
    <x v="6"/>
    <x v="0"/>
    <d v="2003-08-21T00:00:00"/>
    <n v="22.475000000000001"/>
    <x v="0"/>
    <x v="1"/>
    <x v="2"/>
    <s v="Cairo"/>
    <d v="2023-02-19T00:00:00"/>
    <n v="2.9805555555555556"/>
    <n v="6185"/>
    <x v="8"/>
    <x v="0"/>
  </r>
  <r>
    <n v="55262"/>
    <s v="Emp 254"/>
    <s v="30308060155675"/>
    <x v="3"/>
    <x v="0"/>
    <d v="2003-08-06T00:00:00"/>
    <n v="22.516666666666666"/>
    <x v="0"/>
    <x v="1"/>
    <x v="1"/>
    <s v="Cairo"/>
    <d v="2023-02-20T00:00:00"/>
    <n v="2.9777777777777779"/>
    <n v="6120"/>
    <x v="8"/>
    <x v="0"/>
  </r>
  <r>
    <n v="51880"/>
    <s v="Emp 255"/>
    <s v="30311010163171"/>
    <x v="1"/>
    <x v="0"/>
    <d v="2003-11-01T00:00:00"/>
    <n v="22.280555555555555"/>
    <x v="1"/>
    <x v="1"/>
    <x v="3"/>
    <s v="Cairo"/>
    <d v="2023-02-21T00:00:00"/>
    <n v="2.9750000000000001"/>
    <n v="5435"/>
    <x v="8"/>
    <x v="1"/>
  </r>
  <r>
    <n v="57613"/>
    <s v="Emp 256"/>
    <s v="30312080168972"/>
    <x v="2"/>
    <x v="0"/>
    <d v="2003-12-08T00:00:00"/>
    <n v="22.177777777777777"/>
    <x v="1"/>
    <x v="1"/>
    <x v="1"/>
    <s v="Cairo"/>
    <d v="2023-02-22T00:00:00"/>
    <n v="2.9722222222222223"/>
    <n v="6959"/>
    <x v="8"/>
    <x v="0"/>
  </r>
  <r>
    <n v="58666"/>
    <s v="Emp 257"/>
    <s v="30305270174499"/>
    <x v="4"/>
    <x v="0"/>
    <d v="2003-05-27T00:00:00"/>
    <n v="22.708333333333332"/>
    <x v="0"/>
    <x v="0"/>
    <x v="0"/>
    <s v="Cairo"/>
    <d v="2023-02-23T00:00:00"/>
    <n v="2.9694444444444446"/>
    <n v="28369"/>
    <x v="8"/>
    <x v="0"/>
  </r>
  <r>
    <n v="54914"/>
    <s v="Emp 258"/>
    <s v="30303190181156"/>
    <x v="3"/>
    <x v="0"/>
    <d v="2003-03-19T00:00:00"/>
    <n v="22.897222222222222"/>
    <x v="0"/>
    <x v="1"/>
    <x v="4"/>
    <s v="Cairo"/>
    <d v="2023-02-24T00:00:00"/>
    <n v="2.9666666666666668"/>
    <n v="3724"/>
    <x v="8"/>
    <x v="1"/>
  </r>
  <r>
    <n v="59549"/>
    <s v="Emp 259"/>
    <s v="30309100178113"/>
    <x v="1"/>
    <x v="0"/>
    <d v="2003-09-10T00:00:00"/>
    <n v="22.422222222222221"/>
    <x v="1"/>
    <x v="1"/>
    <x v="2"/>
    <s v="Cairo"/>
    <d v="2023-02-25T00:00:00"/>
    <n v="2.963888888888889"/>
    <n v="5441"/>
    <x v="8"/>
    <x v="1"/>
  </r>
  <r>
    <n v="55574"/>
    <s v="Emp 260"/>
    <s v="30312040189758"/>
    <x v="1"/>
    <x v="0"/>
    <d v="2003-12-04T00:00:00"/>
    <n v="22.18888888888889"/>
    <x v="1"/>
    <x v="1"/>
    <x v="2"/>
    <s v="Cairo"/>
    <d v="2023-02-26T00:00:00"/>
    <n v="2.9611111111111112"/>
    <n v="4267"/>
    <x v="8"/>
    <x v="1"/>
  </r>
  <r>
    <n v="56158"/>
    <s v="Emp 261"/>
    <s v="30310140172917"/>
    <x v="9"/>
    <x v="0"/>
    <d v="2003-10-14T00:00:00"/>
    <n v="22.327777777777779"/>
    <x v="0"/>
    <x v="2"/>
    <x v="4"/>
    <s v="Cairo"/>
    <d v="2023-02-27T00:00:00"/>
    <n v="2.9583333333333335"/>
    <n v="13178"/>
    <x v="8"/>
    <x v="0"/>
  </r>
  <r>
    <n v="51564"/>
    <s v="Emp 262"/>
    <s v="30312020156034"/>
    <x v="5"/>
    <x v="0"/>
    <d v="2003-12-02T00:00:00"/>
    <n v="22.194444444444443"/>
    <x v="0"/>
    <x v="2"/>
    <x v="1"/>
    <s v="Cairo"/>
    <d v="2023-02-28T00:00:00"/>
    <n v="2.95"/>
    <n v="13991"/>
    <x v="8"/>
    <x v="0"/>
  </r>
  <r>
    <n v="52113"/>
    <s v="Emp 263"/>
    <s v="30306100182879"/>
    <x v="4"/>
    <x v="0"/>
    <d v="2003-06-10T00:00:00"/>
    <n v="22.672222222222221"/>
    <x v="0"/>
    <x v="2"/>
    <x v="2"/>
    <s v="Cairo"/>
    <d v="2023-03-01T00:00:00"/>
    <n v="2.9472222222222224"/>
    <n v="10070"/>
    <x v="9"/>
    <x v="0"/>
  </r>
  <r>
    <n v="54388"/>
    <s v="Emp 264"/>
    <s v="30306250176178"/>
    <x v="6"/>
    <x v="0"/>
    <d v="2003-06-25T00:00:00"/>
    <n v="22.630555555555556"/>
    <x v="0"/>
    <x v="1"/>
    <x v="3"/>
    <s v="Cairo"/>
    <d v="2023-03-02T00:00:00"/>
    <n v="2.9444444444444446"/>
    <n v="3758"/>
    <x v="9"/>
    <x v="1"/>
  </r>
  <r>
    <n v="55473"/>
    <s v="Emp 265"/>
    <s v="30305250171098"/>
    <x v="0"/>
    <x v="0"/>
    <d v="2003-05-25T00:00:00"/>
    <n v="22.713888888888889"/>
    <x v="0"/>
    <x v="1"/>
    <x v="2"/>
    <s v="Cairo"/>
    <d v="2023-03-03T00:00:00"/>
    <n v="2.9416666666666669"/>
    <n v="5810"/>
    <x v="9"/>
    <x v="1"/>
  </r>
  <r>
    <n v="52615"/>
    <s v="Emp 266"/>
    <s v="30312170160279"/>
    <x v="1"/>
    <x v="0"/>
    <d v="2003-12-17T00:00:00"/>
    <n v="22.152777777777779"/>
    <x v="1"/>
    <x v="1"/>
    <x v="3"/>
    <s v="Cairo"/>
    <d v="2023-03-04T00:00:00"/>
    <n v="2.9388888888888891"/>
    <n v="3630"/>
    <x v="9"/>
    <x v="1"/>
  </r>
  <r>
    <n v="55566"/>
    <s v="Emp 267"/>
    <s v="30303140182471"/>
    <x v="8"/>
    <x v="0"/>
    <d v="2003-03-14T00:00:00"/>
    <n v="22.911111111111111"/>
    <x v="1"/>
    <x v="0"/>
    <x v="0"/>
    <s v="Cairo"/>
    <d v="2023-03-05T00:00:00"/>
    <n v="2.9361111111111109"/>
    <n v="22434"/>
    <x v="9"/>
    <x v="0"/>
  </r>
  <r>
    <n v="50662"/>
    <s v="Emp 268"/>
    <s v="30307130179776"/>
    <x v="0"/>
    <x v="0"/>
    <d v="2003-07-13T00:00:00"/>
    <n v="22.580555555555556"/>
    <x v="1"/>
    <x v="1"/>
    <x v="4"/>
    <s v="Cairo"/>
    <d v="2023-03-06T00:00:00"/>
    <n v="2.9333333333333331"/>
    <n v="5959"/>
    <x v="9"/>
    <x v="1"/>
  </r>
  <r>
    <n v="58284"/>
    <s v="Emp 269"/>
    <s v="30311190157338"/>
    <x v="0"/>
    <x v="0"/>
    <d v="2003-11-19T00:00:00"/>
    <n v="22.230555555555554"/>
    <x v="1"/>
    <x v="0"/>
    <x v="2"/>
    <s v="Cairo"/>
    <d v="2023-03-07T00:00:00"/>
    <n v="2.9305555555555554"/>
    <n v="29382"/>
    <x v="9"/>
    <x v="0"/>
  </r>
  <r>
    <n v="57544"/>
    <s v="Emp 270"/>
    <s v="30306260174437"/>
    <x v="4"/>
    <x v="0"/>
    <d v="2003-06-26T00:00:00"/>
    <n v="22.627777777777776"/>
    <x v="0"/>
    <x v="2"/>
    <x v="4"/>
    <s v="Cairo"/>
    <d v="2023-03-08T00:00:00"/>
    <n v="2.9277777777777776"/>
    <n v="11735"/>
    <x v="9"/>
    <x v="0"/>
  </r>
  <r>
    <n v="55273"/>
    <s v="Emp 271"/>
    <s v="30309260191179"/>
    <x v="2"/>
    <x v="0"/>
    <d v="2003-09-26T00:00:00"/>
    <n v="22.377777777777776"/>
    <x v="0"/>
    <x v="1"/>
    <x v="0"/>
    <s v="Cairo"/>
    <d v="2023-03-09T00:00:00"/>
    <n v="2.9249999999999998"/>
    <n v="4318"/>
    <x v="9"/>
    <x v="1"/>
  </r>
  <r>
    <n v="50361"/>
    <s v="Emp 272"/>
    <s v="30311240155459"/>
    <x v="5"/>
    <x v="0"/>
    <d v="2003-11-24T00:00:00"/>
    <n v="22.216666666666665"/>
    <x v="1"/>
    <x v="1"/>
    <x v="0"/>
    <s v="Cairo"/>
    <d v="2023-03-10T00:00:00"/>
    <n v="2.9222222222222221"/>
    <n v="3772"/>
    <x v="9"/>
    <x v="1"/>
  </r>
  <r>
    <n v="59459"/>
    <s v="Emp 273"/>
    <s v="29610190169377"/>
    <x v="7"/>
    <x v="0"/>
    <d v="1996-10-19T00:00:00"/>
    <n v="29.31388888888889"/>
    <x v="0"/>
    <x v="1"/>
    <x v="3"/>
    <s v="Cairo"/>
    <d v="2023-03-11T00:00:00"/>
    <n v="2.9194444444444443"/>
    <n v="6233"/>
    <x v="9"/>
    <x v="0"/>
  </r>
  <r>
    <n v="58729"/>
    <s v="Emp 274"/>
    <s v="29904280189671"/>
    <x v="1"/>
    <x v="0"/>
    <d v="1999-04-28T00:00:00"/>
    <n v="26.788888888888888"/>
    <x v="0"/>
    <x v="1"/>
    <x v="2"/>
    <s v="Cairo"/>
    <d v="2023-03-12T00:00:00"/>
    <n v="2.9166666666666665"/>
    <n v="4281"/>
    <x v="9"/>
    <x v="1"/>
  </r>
  <r>
    <n v="54103"/>
    <s v="Emp 275"/>
    <s v="29403120176153"/>
    <x v="5"/>
    <x v="0"/>
    <d v="1994-03-12T00:00:00"/>
    <n v="31.916666666666668"/>
    <x v="0"/>
    <x v="0"/>
    <x v="2"/>
    <s v="Cairo"/>
    <d v="2023-03-13T00:00:00"/>
    <n v="2.9138888888888888"/>
    <n v="20566"/>
    <x v="9"/>
    <x v="0"/>
  </r>
  <r>
    <n v="52912"/>
    <s v="Emp 276"/>
    <s v="29502130185898"/>
    <x v="6"/>
    <x v="0"/>
    <d v="1995-02-13T00:00:00"/>
    <n v="30.997222222222224"/>
    <x v="1"/>
    <x v="2"/>
    <x v="1"/>
    <s v="Cairo"/>
    <d v="2023-03-14T00:00:00"/>
    <n v="2.911111111111111"/>
    <n v="10463"/>
    <x v="9"/>
    <x v="0"/>
  </r>
  <r>
    <n v="56583"/>
    <s v="Emp 277"/>
    <s v="28304050160837"/>
    <x v="0"/>
    <x v="0"/>
    <d v="1983-04-05T00:00:00"/>
    <n v="42.852777777777774"/>
    <x v="1"/>
    <x v="2"/>
    <x v="2"/>
    <s v="Cairo"/>
    <d v="2023-03-15T00:00:00"/>
    <n v="2.9083333333333332"/>
    <n v="10112"/>
    <x v="9"/>
    <x v="0"/>
  </r>
  <r>
    <n v="51427"/>
    <s v="Emp 278"/>
    <s v="29703180153937"/>
    <x v="3"/>
    <x v="0"/>
    <d v="1997-03-18T00:00:00"/>
    <n v="28.9"/>
    <x v="1"/>
    <x v="0"/>
    <x v="3"/>
    <s v="Cairo"/>
    <d v="2023-03-16T00:00:00"/>
    <n v="2.9055555555555554"/>
    <n v="18151"/>
    <x v="9"/>
    <x v="0"/>
  </r>
  <r>
    <n v="54757"/>
    <s v="Emp 279"/>
    <s v="29908130184292"/>
    <x v="6"/>
    <x v="0"/>
    <d v="1999-08-13T00:00:00"/>
    <n v="26.497222222222224"/>
    <x v="1"/>
    <x v="0"/>
    <x v="1"/>
    <s v="Cairo"/>
    <d v="2023-03-17T00:00:00"/>
    <n v="2.9027777777777777"/>
    <n v="26142"/>
    <x v="9"/>
    <x v="0"/>
  </r>
  <r>
    <n v="51781"/>
    <s v="Emp 280"/>
    <s v="30302160183699"/>
    <x v="1"/>
    <x v="0"/>
    <d v="2003-02-16T00:00:00"/>
    <n v="22.988888888888887"/>
    <x v="0"/>
    <x v="1"/>
    <x v="3"/>
    <s v="Cairo"/>
    <d v="2023-03-18T00:00:00"/>
    <n v="2.9"/>
    <n v="3800"/>
    <x v="9"/>
    <x v="1"/>
  </r>
  <r>
    <n v="59869"/>
    <s v="Emp 281"/>
    <s v="30108180177254"/>
    <x v="8"/>
    <x v="0"/>
    <d v="2001-08-18T00:00:00"/>
    <n v="24.483333333333334"/>
    <x v="1"/>
    <x v="1"/>
    <x v="2"/>
    <s v="Cairo"/>
    <d v="2023-03-19T00:00:00"/>
    <n v="2.8972222222222221"/>
    <n v="5715"/>
    <x v="9"/>
    <x v="1"/>
  </r>
  <r>
    <n v="54128"/>
    <s v="Emp 282"/>
    <s v="28202140169474"/>
    <x v="8"/>
    <x v="0"/>
    <d v="1982-02-14T00:00:00"/>
    <n v="43.994444444444447"/>
    <x v="0"/>
    <x v="1"/>
    <x v="0"/>
    <s v="Cairo"/>
    <d v="2023-03-20T00:00:00"/>
    <n v="2.8944444444444444"/>
    <n v="4014"/>
    <x v="9"/>
    <x v="1"/>
  </r>
  <r>
    <n v="55736"/>
    <s v="Emp 283"/>
    <s v="29301140184777"/>
    <x v="2"/>
    <x v="0"/>
    <d v="1993-01-14T00:00:00"/>
    <n v="33.077777777777776"/>
    <x v="0"/>
    <x v="1"/>
    <x v="1"/>
    <s v="Cairo"/>
    <d v="2023-03-21T00:00:00"/>
    <n v="2.8916666666666666"/>
    <n v="3105"/>
    <x v="9"/>
    <x v="1"/>
  </r>
  <r>
    <n v="59169"/>
    <s v="Emp 284"/>
    <s v="28711190172238"/>
    <x v="6"/>
    <x v="0"/>
    <d v="1987-11-19T00:00:00"/>
    <n v="38.230555555555554"/>
    <x v="0"/>
    <x v="1"/>
    <x v="2"/>
    <s v="Cairo"/>
    <d v="2023-03-22T00:00:00"/>
    <n v="2.8888888888888888"/>
    <n v="3333"/>
    <x v="9"/>
    <x v="1"/>
  </r>
  <r>
    <n v="58460"/>
    <s v="Emp 285"/>
    <s v="30206170162176"/>
    <x v="2"/>
    <x v="0"/>
    <d v="2002-06-17T00:00:00"/>
    <n v="23.652777777777779"/>
    <x v="0"/>
    <x v="1"/>
    <x v="3"/>
    <s v="Cairo"/>
    <d v="2023-03-23T00:00:00"/>
    <n v="2.8861111111111111"/>
    <n v="6985"/>
    <x v="9"/>
    <x v="0"/>
  </r>
  <r>
    <n v="54102"/>
    <s v="Emp 286"/>
    <s v="29006280159333"/>
    <x v="1"/>
    <x v="0"/>
    <d v="1990-06-28T00:00:00"/>
    <n v="35.62222222222222"/>
    <x v="0"/>
    <x v="1"/>
    <x v="1"/>
    <s v="Cairo"/>
    <d v="2023-03-24T00:00:00"/>
    <n v="2.8833333333333333"/>
    <n v="3606"/>
    <x v="9"/>
    <x v="1"/>
  </r>
  <r>
    <n v="54756"/>
    <s v="Emp 287"/>
    <s v="28808190186517"/>
    <x v="1"/>
    <x v="0"/>
    <d v="1988-08-19T00:00:00"/>
    <n v="37.480555555555554"/>
    <x v="0"/>
    <x v="1"/>
    <x v="4"/>
    <s v="Cairo"/>
    <d v="2023-03-25T00:00:00"/>
    <n v="2.8805555555555555"/>
    <n v="5184"/>
    <x v="9"/>
    <x v="1"/>
  </r>
  <r>
    <n v="50945"/>
    <s v="Emp 288"/>
    <s v="28302170167596"/>
    <x v="5"/>
    <x v="0"/>
    <d v="1983-02-17T00:00:00"/>
    <n v="42.986111111111114"/>
    <x v="1"/>
    <x v="1"/>
    <x v="2"/>
    <s v="Cairo"/>
    <d v="2023-03-26T00:00:00"/>
    <n v="2.8777777777777778"/>
    <n v="4058"/>
    <x v="9"/>
    <x v="1"/>
  </r>
  <r>
    <n v="58757"/>
    <s v="Emp 289"/>
    <s v="29710010175951"/>
    <x v="4"/>
    <x v="0"/>
    <d v="1997-10-01T00:00:00"/>
    <n v="28.363888888888887"/>
    <x v="1"/>
    <x v="1"/>
    <x v="1"/>
    <s v="Cairo"/>
    <d v="2023-03-27T00:00:00"/>
    <n v="2.875"/>
    <n v="3498"/>
    <x v="9"/>
    <x v="1"/>
  </r>
  <r>
    <n v="58376"/>
    <s v="Emp 290"/>
    <s v="29802110180378"/>
    <x v="9"/>
    <x v="0"/>
    <d v="1998-02-11T00:00:00"/>
    <n v="28.002777777777776"/>
    <x v="1"/>
    <x v="1"/>
    <x v="2"/>
    <s v="Cairo"/>
    <d v="2023-03-28T00:00:00"/>
    <n v="2.8722222222222222"/>
    <n v="5945"/>
    <x v="9"/>
    <x v="1"/>
  </r>
  <r>
    <n v="56667"/>
    <s v="Emp 291"/>
    <s v="28807190185758"/>
    <x v="2"/>
    <x v="0"/>
    <d v="1988-07-19T00:00:00"/>
    <n v="37.56388888888889"/>
    <x v="1"/>
    <x v="1"/>
    <x v="1"/>
    <s v="Cairo"/>
    <d v="2023-03-29T00:00:00"/>
    <n v="2.8694444444444445"/>
    <n v="5405"/>
    <x v="9"/>
    <x v="1"/>
  </r>
  <r>
    <n v="57034"/>
    <s v="Emp 292"/>
    <s v="28207130156171"/>
    <x v="8"/>
    <x v="0"/>
    <d v="1982-07-13T00:00:00"/>
    <n v="43.580555555555556"/>
    <x v="1"/>
    <x v="0"/>
    <x v="3"/>
    <s v="Cairo"/>
    <d v="2023-03-30T00:00:00"/>
    <n v="2.8666666666666667"/>
    <n v="18892"/>
    <x v="9"/>
    <x v="0"/>
  </r>
  <r>
    <n v="52615"/>
    <s v="Emp 293"/>
    <s v="28711260171432"/>
    <x v="8"/>
    <x v="0"/>
    <d v="1987-11-26T00:00:00"/>
    <n v="38.211111111111109"/>
    <x v="0"/>
    <x v="2"/>
    <x v="0"/>
    <s v="Cairo"/>
    <d v="2023-03-31T00:00:00"/>
    <n v="2.8666666666666667"/>
    <n v="13112"/>
    <x v="9"/>
    <x v="0"/>
  </r>
  <r>
    <n v="59445"/>
    <s v="Emp 294"/>
    <s v="30305090165674"/>
    <x v="2"/>
    <x v="0"/>
    <d v="2003-05-09T00:00:00"/>
    <n v="22.758333333333333"/>
    <x v="0"/>
    <x v="1"/>
    <x v="4"/>
    <s v="Cairo"/>
    <d v="2023-04-01T00:00:00"/>
    <n v="2.8638888888888889"/>
    <n v="4197"/>
    <x v="10"/>
    <x v="1"/>
  </r>
  <r>
    <n v="56956"/>
    <s v="Emp 295"/>
    <s v="30309060184895"/>
    <x v="2"/>
    <x v="0"/>
    <d v="2003-09-06T00:00:00"/>
    <n v="22.433333333333334"/>
    <x v="1"/>
    <x v="1"/>
    <x v="3"/>
    <s v="Cairo"/>
    <d v="2023-04-02T00:00:00"/>
    <n v="2.8611111111111112"/>
    <n v="6651"/>
    <x v="10"/>
    <x v="0"/>
  </r>
  <r>
    <n v="53181"/>
    <s v="Emp 296"/>
    <s v="30309230171116"/>
    <x v="9"/>
    <x v="0"/>
    <d v="2003-09-23T00:00:00"/>
    <n v="22.386111111111113"/>
    <x v="0"/>
    <x v="1"/>
    <x v="0"/>
    <s v="Cairo"/>
    <d v="2023-04-03T00:00:00"/>
    <n v="2.8583333333333334"/>
    <n v="5763"/>
    <x v="10"/>
    <x v="1"/>
  </r>
  <r>
    <n v="56268"/>
    <s v="Emp 297"/>
    <s v="30311130185376"/>
    <x v="1"/>
    <x v="0"/>
    <d v="2003-11-13T00:00:00"/>
    <n v="22.247222222222224"/>
    <x v="1"/>
    <x v="1"/>
    <x v="4"/>
    <s v="Cairo"/>
    <d v="2023-04-04T00:00:00"/>
    <n v="2.8555555555555556"/>
    <n v="4079"/>
    <x v="10"/>
    <x v="1"/>
  </r>
  <r>
    <n v="53019"/>
    <s v="Emp 298"/>
    <s v="30302250172455"/>
    <x v="4"/>
    <x v="0"/>
    <d v="2003-02-25T00:00:00"/>
    <n v="22.963888888888889"/>
    <x v="0"/>
    <x v="0"/>
    <x v="1"/>
    <s v="Cairo"/>
    <d v="2023-04-05T00:00:00"/>
    <n v="2.8527777777777779"/>
    <n v="17635"/>
    <x v="10"/>
    <x v="0"/>
  </r>
  <r>
    <n v="50881"/>
    <s v="Emp 299"/>
    <s v="30305200162793"/>
    <x v="2"/>
    <x v="0"/>
    <d v="2003-05-20T00:00:00"/>
    <n v="22.727777777777778"/>
    <x v="0"/>
    <x v="1"/>
    <x v="2"/>
    <s v="Cairo"/>
    <d v="2023-04-06T00:00:00"/>
    <n v="2.85"/>
    <n v="3401"/>
    <x v="10"/>
    <x v="1"/>
  </r>
  <r>
    <n v="56586"/>
    <s v="Emp 300"/>
    <s v="30301270156172"/>
    <x v="6"/>
    <x v="0"/>
    <d v="2003-01-27T00:00:00"/>
    <n v="23.041666666666668"/>
    <x v="1"/>
    <x v="2"/>
    <x v="4"/>
    <s v="Cairo"/>
    <d v="2023-04-07T00:00:00"/>
    <n v="2.8472222222222223"/>
    <n v="13885"/>
    <x v="10"/>
    <x v="0"/>
  </r>
  <r>
    <n v="51556"/>
    <s v="Emp 301"/>
    <s v="30306110163874"/>
    <x v="4"/>
    <x v="0"/>
    <d v="2003-06-11T00:00:00"/>
    <n v="22.669444444444444"/>
    <x v="1"/>
    <x v="1"/>
    <x v="3"/>
    <s v="Cairo"/>
    <d v="2023-04-08T00:00:00"/>
    <n v="2.8444444444444446"/>
    <n v="4099"/>
    <x v="10"/>
    <x v="1"/>
  </r>
  <r>
    <n v="56284"/>
    <s v="Emp 302"/>
    <s v="30310090155116"/>
    <x v="5"/>
    <x v="0"/>
    <d v="2003-10-09T00:00:00"/>
    <n v="22.341666666666665"/>
    <x v="1"/>
    <x v="2"/>
    <x v="0"/>
    <s v="Cairo"/>
    <d v="2023-04-09T00:00:00"/>
    <n v="2.8416666666666668"/>
    <n v="12003"/>
    <x v="10"/>
    <x v="0"/>
  </r>
  <r>
    <n v="55902"/>
    <s v="Emp 303"/>
    <s v="30302190162991"/>
    <x v="6"/>
    <x v="0"/>
    <d v="2003-02-19T00:00:00"/>
    <n v="22.980555555555554"/>
    <x v="1"/>
    <x v="1"/>
    <x v="3"/>
    <s v="Cairo"/>
    <d v="2023-04-10T00:00:00"/>
    <n v="2.838888888888889"/>
    <n v="3739"/>
    <x v="10"/>
    <x v="1"/>
  </r>
  <r>
    <n v="59643"/>
    <s v="Emp 304"/>
    <s v="30305050171498"/>
    <x v="2"/>
    <x v="0"/>
    <d v="2003-05-05T00:00:00"/>
    <n v="22.769444444444446"/>
    <x v="0"/>
    <x v="1"/>
    <x v="3"/>
    <s v="Cairo"/>
    <d v="2023-04-11T00:00:00"/>
    <n v="2.8361111111111112"/>
    <n v="5708"/>
    <x v="10"/>
    <x v="1"/>
  </r>
  <r>
    <n v="59811"/>
    <s v="Emp 305"/>
    <s v="30307250177658"/>
    <x v="7"/>
    <x v="0"/>
    <d v="2003-07-25T00:00:00"/>
    <n v="22.547222222222221"/>
    <x v="0"/>
    <x v="1"/>
    <x v="2"/>
    <s v="Cairo"/>
    <d v="2023-04-12T00:00:00"/>
    <n v="2.8333333333333335"/>
    <n v="3582"/>
    <x v="10"/>
    <x v="1"/>
  </r>
  <r>
    <n v="51599"/>
    <s v="Emp 306"/>
    <s v="30308220161771"/>
    <x v="0"/>
    <x v="0"/>
    <d v="2003-08-22T00:00:00"/>
    <n v="22.472222222222221"/>
    <x v="0"/>
    <x v="1"/>
    <x v="2"/>
    <s v="Cairo"/>
    <d v="2023-04-13T00:00:00"/>
    <n v="2.8305555555555557"/>
    <n v="6626"/>
    <x v="10"/>
    <x v="0"/>
  </r>
  <r>
    <n v="54528"/>
    <s v="Emp 307"/>
    <s v="30307220187436"/>
    <x v="9"/>
    <x v="0"/>
    <d v="2003-07-22T00:00:00"/>
    <n v="22.555555555555557"/>
    <x v="1"/>
    <x v="1"/>
    <x v="0"/>
    <s v="Cairo"/>
    <d v="2023-04-14T00:00:00"/>
    <n v="2.8277777777777779"/>
    <n v="4937"/>
    <x v="10"/>
    <x v="1"/>
  </r>
  <r>
    <n v="51330"/>
    <s v="Emp 308"/>
    <s v="30310130164938"/>
    <x v="8"/>
    <x v="0"/>
    <d v="2003-10-13T00:00:00"/>
    <n v="22.330555555555556"/>
    <x v="1"/>
    <x v="1"/>
    <x v="1"/>
    <s v="Cairo"/>
    <d v="2023-04-15T00:00:00"/>
    <n v="2.8250000000000002"/>
    <n v="4205"/>
    <x v="10"/>
    <x v="1"/>
  </r>
  <r>
    <n v="50149"/>
    <s v="Emp 309"/>
    <s v="30312130152079"/>
    <x v="9"/>
    <x v="0"/>
    <d v="2003-12-13T00:00:00"/>
    <n v="22.163888888888888"/>
    <x v="1"/>
    <x v="1"/>
    <x v="2"/>
    <s v="Cairo"/>
    <d v="2023-04-16T00:00:00"/>
    <n v="2.8222222222222224"/>
    <n v="4021"/>
    <x v="10"/>
    <x v="1"/>
  </r>
  <r>
    <n v="51994"/>
    <s v="Emp 310"/>
    <s v="30305130178511"/>
    <x v="0"/>
    <x v="0"/>
    <d v="2003-05-13T00:00:00"/>
    <n v="22.747222222222224"/>
    <x v="1"/>
    <x v="0"/>
    <x v="3"/>
    <s v="Cairo"/>
    <d v="2023-04-17T00:00:00"/>
    <n v="2.8194444444444446"/>
    <n v="25914"/>
    <x v="10"/>
    <x v="0"/>
  </r>
  <r>
    <n v="59791"/>
    <s v="Emp 311"/>
    <s v="30307140189577"/>
    <x v="0"/>
    <x v="0"/>
    <d v="2003-07-14T00:00:00"/>
    <n v="22.577777777777779"/>
    <x v="1"/>
    <x v="1"/>
    <x v="4"/>
    <s v="Cairo"/>
    <d v="2023-04-18T00:00:00"/>
    <n v="2.8166666666666669"/>
    <n v="4067"/>
    <x v="10"/>
    <x v="1"/>
  </r>
  <r>
    <n v="51732"/>
    <s v="Emp 312"/>
    <s v="30304030152898"/>
    <x v="1"/>
    <x v="0"/>
    <d v="2003-04-03T00:00:00"/>
    <n v="22.858333333333334"/>
    <x v="0"/>
    <x v="1"/>
    <x v="2"/>
    <s v="Cairo"/>
    <d v="2023-04-19T00:00:00"/>
    <n v="2.8138888888888891"/>
    <n v="4343"/>
    <x v="10"/>
    <x v="1"/>
  </r>
  <r>
    <n v="54532"/>
    <s v="Emp 313"/>
    <s v="30301070172074"/>
    <x v="8"/>
    <x v="0"/>
    <d v="2003-01-07T00:00:00"/>
    <n v="23.097222222222221"/>
    <x v="0"/>
    <x v="1"/>
    <x v="2"/>
    <s v="Cairo"/>
    <d v="2023-04-20T00:00:00"/>
    <n v="2.8111111111111109"/>
    <n v="6023"/>
    <x v="10"/>
    <x v="0"/>
  </r>
  <r>
    <n v="57207"/>
    <s v="Emp 314"/>
    <s v="30302180180995"/>
    <x v="7"/>
    <x v="0"/>
    <d v="2003-02-18T00:00:00"/>
    <n v="22.983333333333334"/>
    <x v="0"/>
    <x v="1"/>
    <x v="3"/>
    <s v="Cairo"/>
    <d v="2023-04-21T00:00:00"/>
    <n v="2.8083333333333331"/>
    <n v="5826"/>
    <x v="10"/>
    <x v="1"/>
  </r>
  <r>
    <n v="52983"/>
    <s v="Emp 315"/>
    <s v="30311040153571"/>
    <x v="7"/>
    <x v="0"/>
    <d v="2003-11-04T00:00:00"/>
    <n v="22.272222222222222"/>
    <x v="1"/>
    <x v="1"/>
    <x v="0"/>
    <s v="Cairo"/>
    <d v="2023-04-22T00:00:00"/>
    <n v="2.8055555555555554"/>
    <n v="3913"/>
    <x v="10"/>
    <x v="1"/>
  </r>
  <r>
    <n v="59235"/>
    <s v="Emp 316"/>
    <s v="30306210154217"/>
    <x v="4"/>
    <x v="0"/>
    <d v="2003-06-21T00:00:00"/>
    <n v="22.641666666666666"/>
    <x v="0"/>
    <x v="1"/>
    <x v="2"/>
    <s v="Cairo"/>
    <d v="2023-04-23T00:00:00"/>
    <n v="2.8027777777777776"/>
    <n v="4929"/>
    <x v="10"/>
    <x v="1"/>
  </r>
  <r>
    <n v="59909"/>
    <s v="Emp 317"/>
    <s v="30304080153114"/>
    <x v="9"/>
    <x v="0"/>
    <d v="2003-04-08T00:00:00"/>
    <n v="22.844444444444445"/>
    <x v="0"/>
    <x v="0"/>
    <x v="2"/>
    <s v="Cairo"/>
    <d v="2023-04-24T00:00:00"/>
    <n v="2.8"/>
    <n v="29732"/>
    <x v="10"/>
    <x v="0"/>
  </r>
  <r>
    <n v="53498"/>
    <s v="Emp 318"/>
    <s v="30312060160859"/>
    <x v="9"/>
    <x v="0"/>
    <d v="2003-12-06T00:00:00"/>
    <n v="22.183333333333334"/>
    <x v="0"/>
    <x v="1"/>
    <x v="0"/>
    <s v="Cairo"/>
    <d v="2023-04-25T00:00:00"/>
    <n v="2.7972222222222221"/>
    <n v="5314"/>
    <x v="10"/>
    <x v="1"/>
  </r>
  <r>
    <n v="52665"/>
    <s v="Emp 319"/>
    <s v="30306250159173"/>
    <x v="7"/>
    <x v="0"/>
    <d v="2003-06-25T00:00:00"/>
    <n v="22.630555555555556"/>
    <x v="0"/>
    <x v="0"/>
    <x v="1"/>
    <s v="Cairo"/>
    <d v="2023-04-26T00:00:00"/>
    <n v="2.7944444444444443"/>
    <n v="15871"/>
    <x v="10"/>
    <x v="0"/>
  </r>
  <r>
    <n v="58935"/>
    <s v="Emp 320"/>
    <s v="30309240180973"/>
    <x v="9"/>
    <x v="0"/>
    <d v="2003-09-24T00:00:00"/>
    <n v="22.383333333333333"/>
    <x v="0"/>
    <x v="1"/>
    <x v="2"/>
    <s v="Cairo"/>
    <d v="2023-04-27T00:00:00"/>
    <n v="2.7916666666666665"/>
    <n v="3343"/>
    <x v="10"/>
    <x v="1"/>
  </r>
  <r>
    <n v="59198"/>
    <s v="Emp 321"/>
    <s v="30305100159035"/>
    <x v="8"/>
    <x v="0"/>
    <d v="2003-05-10T00:00:00"/>
    <n v="22.755555555555556"/>
    <x v="1"/>
    <x v="1"/>
    <x v="2"/>
    <s v="Cairo"/>
    <d v="2023-04-28T00:00:00"/>
    <n v="2.7888888888888888"/>
    <n v="4066"/>
    <x v="10"/>
    <x v="1"/>
  </r>
  <r>
    <n v="53785"/>
    <s v="Emp 322"/>
    <s v="30301220173815"/>
    <x v="5"/>
    <x v="0"/>
    <d v="2003-01-22T00:00:00"/>
    <n v="23.055555555555557"/>
    <x v="0"/>
    <x v="1"/>
    <x v="3"/>
    <s v="Cairo"/>
    <d v="2023-04-29T00:00:00"/>
    <n v="2.786111111111111"/>
    <n v="4595"/>
    <x v="10"/>
    <x v="1"/>
  </r>
  <r>
    <n v="52210"/>
    <s v="Emp 323"/>
    <s v="30305160181034"/>
    <x v="9"/>
    <x v="0"/>
    <d v="2003-05-16T00:00:00"/>
    <n v="22.738888888888887"/>
    <x v="1"/>
    <x v="0"/>
    <x v="0"/>
    <s v="Cairo"/>
    <d v="2023-04-30T00:00:00"/>
    <n v="2.7833333333333332"/>
    <n v="24651"/>
    <x v="10"/>
    <x v="0"/>
  </r>
  <r>
    <n v="58453"/>
    <s v="Emp 324"/>
    <s v="30308210152157"/>
    <x v="8"/>
    <x v="0"/>
    <d v="2003-08-21T00:00:00"/>
    <n v="22.475000000000001"/>
    <x v="1"/>
    <x v="1"/>
    <x v="0"/>
    <s v="Cairo"/>
    <d v="2023-05-01T00:00:00"/>
    <n v="2.7805555555555554"/>
    <n v="6082"/>
    <x v="11"/>
    <x v="0"/>
  </r>
  <r>
    <n v="56941"/>
    <s v="Emp 325"/>
    <s v="30312120159755"/>
    <x v="6"/>
    <x v="0"/>
    <d v="2003-12-12T00:00:00"/>
    <n v="22.166666666666668"/>
    <x v="1"/>
    <x v="1"/>
    <x v="4"/>
    <s v="Cairo"/>
    <d v="2023-05-02T00:00:00"/>
    <n v="2.7777777777777777"/>
    <n v="5130"/>
    <x v="11"/>
    <x v="1"/>
  </r>
  <r>
    <n v="50320"/>
    <s v="Emp 326"/>
    <s v="30308230151977"/>
    <x v="9"/>
    <x v="0"/>
    <d v="2003-08-23T00:00:00"/>
    <n v="22.469444444444445"/>
    <x v="1"/>
    <x v="1"/>
    <x v="3"/>
    <s v="Cairo"/>
    <d v="2023-05-03T00:00:00"/>
    <n v="2.7749999999999999"/>
    <n v="5677"/>
    <x v="11"/>
    <x v="1"/>
  </r>
  <r>
    <n v="57910"/>
    <s v="Emp 327"/>
    <s v="30312190165657"/>
    <x v="0"/>
    <x v="0"/>
    <d v="2003-12-19T00:00:00"/>
    <n v="22.147222222222222"/>
    <x v="1"/>
    <x v="0"/>
    <x v="3"/>
    <s v="Cairo"/>
    <d v="2023-05-04T00:00:00"/>
    <n v="2.7722222222222221"/>
    <n v="29002"/>
    <x v="11"/>
    <x v="0"/>
  </r>
  <r>
    <n v="59400"/>
    <s v="Emp 328"/>
    <s v="30301110171517"/>
    <x v="2"/>
    <x v="0"/>
    <d v="2003-01-11T00:00:00"/>
    <n v="23.086111111111112"/>
    <x v="0"/>
    <x v="1"/>
    <x v="1"/>
    <s v="Cairo"/>
    <d v="2023-05-05T00:00:00"/>
    <n v="2.7694444444444444"/>
    <n v="5434"/>
    <x v="11"/>
    <x v="1"/>
  </r>
  <r>
    <n v="52045"/>
    <s v="Emp 329"/>
    <s v="30311040189472"/>
    <x v="6"/>
    <x v="0"/>
    <d v="2003-11-04T00:00:00"/>
    <n v="22.272222222222222"/>
    <x v="0"/>
    <x v="0"/>
    <x v="0"/>
    <s v="Cairo"/>
    <d v="2023-05-06T00:00:00"/>
    <n v="2.7666666666666666"/>
    <n v="20915"/>
    <x v="11"/>
    <x v="0"/>
  </r>
  <r>
    <n v="58557"/>
    <s v="Emp 330"/>
    <s v="30311190166716"/>
    <x v="5"/>
    <x v="0"/>
    <d v="2003-11-19T00:00:00"/>
    <n v="22.230555555555554"/>
    <x v="1"/>
    <x v="1"/>
    <x v="0"/>
    <s v="Cairo"/>
    <d v="2023-05-07T00:00:00"/>
    <n v="2.7638888888888888"/>
    <n v="3204"/>
    <x v="11"/>
    <x v="1"/>
  </r>
  <r>
    <n v="57703"/>
    <s v="Emp 331"/>
    <s v="30304080175375"/>
    <x v="0"/>
    <x v="0"/>
    <d v="2003-04-08T00:00:00"/>
    <n v="22.844444444444445"/>
    <x v="0"/>
    <x v="0"/>
    <x v="0"/>
    <s v="Cairo"/>
    <d v="2023-05-08T00:00:00"/>
    <n v="2.7611111111111111"/>
    <n v="22676"/>
    <x v="11"/>
    <x v="0"/>
  </r>
  <r>
    <n v="54708"/>
    <s v="Emp 332"/>
    <s v="30309220156897"/>
    <x v="8"/>
    <x v="0"/>
    <d v="2003-09-22T00:00:00"/>
    <n v="22.388888888888889"/>
    <x v="1"/>
    <x v="1"/>
    <x v="3"/>
    <s v="Cairo"/>
    <d v="2023-05-09T00:00:00"/>
    <n v="2.7583333333333333"/>
    <n v="6073"/>
    <x v="11"/>
    <x v="0"/>
  </r>
  <r>
    <n v="57373"/>
    <s v="Emp 333"/>
    <s v="30310220157874"/>
    <x v="6"/>
    <x v="0"/>
    <d v="2003-10-22T00:00:00"/>
    <n v="22.305555555555557"/>
    <x v="0"/>
    <x v="2"/>
    <x v="4"/>
    <s v="Cairo"/>
    <d v="2023-05-10T00:00:00"/>
    <n v="2.7555555555555555"/>
    <n v="10433"/>
    <x v="11"/>
    <x v="0"/>
  </r>
  <r>
    <n v="53441"/>
    <s v="Emp 334"/>
    <s v="30301090159613"/>
    <x v="3"/>
    <x v="0"/>
    <d v="2003-01-09T00:00:00"/>
    <n v="23.091666666666665"/>
    <x v="1"/>
    <x v="1"/>
    <x v="2"/>
    <s v="Cairo"/>
    <d v="2023-05-11T00:00:00"/>
    <n v="2.7527777777777778"/>
    <n v="4894"/>
    <x v="11"/>
    <x v="1"/>
  </r>
  <r>
    <n v="53571"/>
    <s v="Emp 335"/>
    <s v="30312140151871"/>
    <x v="7"/>
    <x v="0"/>
    <d v="2003-12-14T00:00:00"/>
    <n v="22.161111111111111"/>
    <x v="0"/>
    <x v="1"/>
    <x v="2"/>
    <s v="Cairo"/>
    <d v="2023-05-12T00:00:00"/>
    <n v="2.75"/>
    <n v="3235"/>
    <x v="11"/>
    <x v="1"/>
  </r>
  <r>
    <n v="52528"/>
    <s v="Emp 336"/>
    <s v="30310170155571"/>
    <x v="9"/>
    <x v="0"/>
    <d v="2003-10-17T00:00:00"/>
    <n v="22.319444444444443"/>
    <x v="1"/>
    <x v="1"/>
    <x v="2"/>
    <s v="Cairo"/>
    <d v="2023-05-13T00:00:00"/>
    <n v="2.7472222222222222"/>
    <n v="3480"/>
    <x v="11"/>
    <x v="1"/>
  </r>
  <r>
    <n v="58679"/>
    <s v="Emp 337"/>
    <s v="30310240183872"/>
    <x v="0"/>
    <x v="0"/>
    <d v="2003-10-24T00:00:00"/>
    <n v="22.3"/>
    <x v="0"/>
    <x v="0"/>
    <x v="2"/>
    <s v="Cairo"/>
    <d v="2023-05-14T00:00:00"/>
    <n v="2.7444444444444445"/>
    <n v="23659"/>
    <x v="11"/>
    <x v="0"/>
  </r>
  <r>
    <n v="59670"/>
    <s v="Emp 338"/>
    <s v="30311060177239"/>
    <x v="4"/>
    <x v="0"/>
    <d v="2003-11-06T00:00:00"/>
    <n v="22.266666666666666"/>
    <x v="1"/>
    <x v="0"/>
    <x v="3"/>
    <s v="Cairo"/>
    <d v="2023-05-15T00:00:00"/>
    <n v="2.7416666666666667"/>
    <n v="24334"/>
    <x v="11"/>
    <x v="0"/>
  </r>
  <r>
    <n v="55974"/>
    <s v="Emp 339"/>
    <s v="30303060188679"/>
    <x v="5"/>
    <x v="0"/>
    <d v="2003-03-06T00:00:00"/>
    <n v="22.933333333333334"/>
    <x v="1"/>
    <x v="1"/>
    <x v="3"/>
    <s v="Cairo"/>
    <d v="2023-05-16T00:00:00"/>
    <n v="2.7388888888888889"/>
    <n v="3462"/>
    <x v="11"/>
    <x v="1"/>
  </r>
  <r>
    <n v="57242"/>
    <s v="Emp 340"/>
    <s v="28405050154553"/>
    <x v="6"/>
    <x v="0"/>
    <d v="1984-05-05T00:00:00"/>
    <n v="41.769444444444446"/>
    <x v="0"/>
    <x v="1"/>
    <x v="3"/>
    <s v="Cairo"/>
    <d v="2023-05-17T00:00:00"/>
    <n v="2.7361111111111112"/>
    <n v="6193"/>
    <x v="11"/>
    <x v="0"/>
  </r>
  <r>
    <n v="51438"/>
    <s v="Emp 341"/>
    <s v="29701250184636"/>
    <x v="0"/>
    <x v="0"/>
    <d v="1997-01-25T00:00:00"/>
    <n v="29.047222222222221"/>
    <x v="0"/>
    <x v="2"/>
    <x v="4"/>
    <s v="Cairo"/>
    <d v="2023-05-18T00:00:00"/>
    <n v="2.7333333333333334"/>
    <n v="10299"/>
    <x v="11"/>
    <x v="0"/>
  </r>
  <r>
    <n v="52335"/>
    <s v="Emp 342"/>
    <s v="30211190160873"/>
    <x v="7"/>
    <x v="0"/>
    <d v="2002-11-19T00:00:00"/>
    <n v="23.230555555555554"/>
    <x v="0"/>
    <x v="1"/>
    <x v="0"/>
    <s v="Cairo"/>
    <d v="2023-05-19T00:00:00"/>
    <n v="2.7305555555555556"/>
    <n v="5640"/>
    <x v="11"/>
    <x v="1"/>
  </r>
  <r>
    <n v="59564"/>
    <s v="Emp 343"/>
    <s v="29312210180978"/>
    <x v="2"/>
    <x v="0"/>
    <d v="1993-12-21T00:00:00"/>
    <n v="32.141666666666666"/>
    <x v="1"/>
    <x v="1"/>
    <x v="1"/>
    <s v="Cairo"/>
    <d v="2023-05-20T00:00:00"/>
    <n v="2.7277777777777779"/>
    <n v="5021"/>
    <x v="11"/>
    <x v="1"/>
  </r>
  <r>
    <n v="56113"/>
    <s v="Emp 344"/>
    <s v="30111080168971"/>
    <x v="1"/>
    <x v="0"/>
    <d v="2001-11-08T00:00:00"/>
    <n v="24.261111111111113"/>
    <x v="0"/>
    <x v="1"/>
    <x v="4"/>
    <s v="Cairo"/>
    <d v="2023-05-21T00:00:00"/>
    <n v="2.7250000000000001"/>
    <n v="5632"/>
    <x v="11"/>
    <x v="1"/>
  </r>
  <r>
    <n v="56958"/>
    <s v="Emp 345"/>
    <s v="29701060160899"/>
    <x v="4"/>
    <x v="0"/>
    <d v="1997-01-06T00:00:00"/>
    <n v="29.1"/>
    <x v="0"/>
    <x v="1"/>
    <x v="1"/>
    <s v="Cairo"/>
    <d v="2023-05-22T00:00:00"/>
    <n v="2.7222222222222223"/>
    <n v="3152"/>
    <x v="11"/>
    <x v="1"/>
  </r>
  <r>
    <n v="51431"/>
    <s v="Emp 346"/>
    <s v="28905270178172"/>
    <x v="5"/>
    <x v="0"/>
    <d v="1989-05-27T00:00:00"/>
    <n v="36.708333333333336"/>
    <x v="0"/>
    <x v="1"/>
    <x v="4"/>
    <s v="Cairo"/>
    <d v="2023-05-23T00:00:00"/>
    <n v="2.7194444444444446"/>
    <n v="4298"/>
    <x v="11"/>
    <x v="1"/>
  </r>
  <r>
    <n v="54102"/>
    <s v="Emp 347"/>
    <s v="28809070172213"/>
    <x v="9"/>
    <x v="0"/>
    <d v="1988-09-07T00:00:00"/>
    <n v="37.430555555555557"/>
    <x v="1"/>
    <x v="1"/>
    <x v="0"/>
    <s v="Cairo"/>
    <d v="2023-05-24T00:00:00"/>
    <n v="2.7166666666666668"/>
    <n v="4392"/>
    <x v="11"/>
    <x v="1"/>
  </r>
  <r>
    <n v="58349"/>
    <s v="Emp 348"/>
    <s v="28306280175838"/>
    <x v="1"/>
    <x v="0"/>
    <d v="1983-06-28T00:00:00"/>
    <n v="42.62222222222222"/>
    <x v="0"/>
    <x v="2"/>
    <x v="4"/>
    <s v="Cairo"/>
    <d v="2023-05-25T00:00:00"/>
    <n v="2.713888888888889"/>
    <n v="12122"/>
    <x v="11"/>
    <x v="0"/>
  </r>
  <r>
    <n v="50770"/>
    <s v="Emp 349"/>
    <s v="29606180151977"/>
    <x v="7"/>
    <x v="0"/>
    <d v="1996-06-18T00:00:00"/>
    <n v="29.65"/>
    <x v="1"/>
    <x v="1"/>
    <x v="2"/>
    <s v="Cairo"/>
    <d v="2023-05-26T00:00:00"/>
    <n v="2.7111111111111112"/>
    <n v="3033"/>
    <x v="11"/>
    <x v="1"/>
  </r>
  <r>
    <n v="52843"/>
    <s v="Emp 350"/>
    <s v="29610270164598"/>
    <x v="2"/>
    <x v="0"/>
    <d v="1996-10-27T00:00:00"/>
    <n v="29.291666666666668"/>
    <x v="0"/>
    <x v="0"/>
    <x v="1"/>
    <s v="Cairo"/>
    <d v="2023-05-27T00:00:00"/>
    <n v="2.7083333333333335"/>
    <n v="26143"/>
    <x v="11"/>
    <x v="0"/>
  </r>
  <r>
    <n v="53547"/>
    <s v="Emp 351"/>
    <s v="28803280155874"/>
    <x v="5"/>
    <x v="0"/>
    <d v="1988-03-28T00:00:00"/>
    <n v="37.87222222222222"/>
    <x v="0"/>
    <x v="1"/>
    <x v="0"/>
    <s v="Cairo"/>
    <d v="2023-05-28T00:00:00"/>
    <n v="2.7055555555555557"/>
    <n v="4494"/>
    <x v="11"/>
    <x v="1"/>
  </r>
  <r>
    <n v="51173"/>
    <s v="Emp 352"/>
    <s v="30308190159312"/>
    <x v="9"/>
    <x v="0"/>
    <d v="2003-08-19T00:00:00"/>
    <n v="22.480555555555554"/>
    <x v="1"/>
    <x v="0"/>
    <x v="3"/>
    <s v="Cairo"/>
    <d v="2023-05-29T00:00:00"/>
    <n v="2.7027777777777779"/>
    <n v="26961"/>
    <x v="11"/>
    <x v="0"/>
  </r>
  <r>
    <n v="56745"/>
    <s v="Emp 353"/>
    <s v="29005070184775"/>
    <x v="7"/>
    <x v="0"/>
    <d v="1990-05-07T00:00:00"/>
    <n v="35.763888888888886"/>
    <x v="0"/>
    <x v="0"/>
    <x v="3"/>
    <s v="Cairo"/>
    <d v="2023-05-30T00:00:00"/>
    <n v="2.7"/>
    <n v="23824"/>
    <x v="11"/>
    <x v="0"/>
  </r>
  <r>
    <n v="54574"/>
    <s v="Emp 354"/>
    <s v="28607070161294"/>
    <x v="4"/>
    <x v="0"/>
    <d v="1986-07-07T00:00:00"/>
    <n v="39.597222222222221"/>
    <x v="1"/>
    <x v="1"/>
    <x v="1"/>
    <s v="Cairo"/>
    <d v="2023-05-31T00:00:00"/>
    <n v="2.7"/>
    <n v="4547"/>
    <x v="11"/>
    <x v="1"/>
  </r>
  <r>
    <n v="56664"/>
    <s v="Emp 355"/>
    <s v="29112140174297"/>
    <x v="4"/>
    <x v="0"/>
    <d v="1991-12-14T00:00:00"/>
    <n v="34.161111111111111"/>
    <x v="0"/>
    <x v="1"/>
    <x v="3"/>
    <s v="Cairo"/>
    <d v="2023-06-01T00:00:00"/>
    <n v="2.6972222222222224"/>
    <n v="6119"/>
    <x v="0"/>
    <x v="0"/>
  </r>
  <r>
    <n v="55063"/>
    <s v="Emp 356"/>
    <s v="28812230176494"/>
    <x v="7"/>
    <x v="0"/>
    <d v="1988-12-23T00:00:00"/>
    <n v="37.136111111111113"/>
    <x v="0"/>
    <x v="0"/>
    <x v="3"/>
    <s v="Cairo"/>
    <d v="2023-06-02T00:00:00"/>
    <n v="2.6944444444444446"/>
    <n v="29236"/>
    <x v="0"/>
    <x v="0"/>
  </r>
  <r>
    <n v="52420"/>
    <s v="Emp 357"/>
    <s v="28312270189756"/>
    <x v="9"/>
    <x v="0"/>
    <d v="1983-12-27T00:00:00"/>
    <n v="42.125"/>
    <x v="0"/>
    <x v="1"/>
    <x v="0"/>
    <s v="Cairo"/>
    <d v="2023-06-03T00:00:00"/>
    <n v="2.6916666666666669"/>
    <n v="6426"/>
    <x v="0"/>
    <x v="0"/>
  </r>
  <r>
    <n v="59580"/>
    <s v="Emp 358"/>
    <s v="30201030184478"/>
    <x v="6"/>
    <x v="0"/>
    <d v="2002-01-03T00:00:00"/>
    <n v="24.108333333333334"/>
    <x v="0"/>
    <x v="1"/>
    <x v="1"/>
    <s v="Cairo"/>
    <d v="2023-06-04T00:00:00"/>
    <n v="2.6888888888888891"/>
    <n v="6201"/>
    <x v="0"/>
    <x v="0"/>
  </r>
  <r>
    <n v="51329"/>
    <s v="Emp 359"/>
    <s v="29207230180275"/>
    <x v="4"/>
    <x v="0"/>
    <d v="1992-07-23T00:00:00"/>
    <n v="33.552777777777777"/>
    <x v="0"/>
    <x v="1"/>
    <x v="4"/>
    <s v="Cairo"/>
    <d v="2023-06-05T00:00:00"/>
    <n v="2.6861111111111109"/>
    <n v="5212"/>
    <x v="0"/>
    <x v="1"/>
  </r>
  <r>
    <n v="52833"/>
    <s v="Emp 360"/>
    <s v="29711130161171"/>
    <x v="4"/>
    <x v="0"/>
    <d v="1997-11-13T00:00:00"/>
    <n v="28.247222222222224"/>
    <x v="0"/>
    <x v="1"/>
    <x v="4"/>
    <s v="Cairo"/>
    <d v="2023-06-06T00:00:00"/>
    <n v="2.6833333333333331"/>
    <n v="4759"/>
    <x v="0"/>
    <x v="1"/>
  </r>
  <r>
    <n v="59070"/>
    <s v="Emp 361"/>
    <s v="28410280168871"/>
    <x v="3"/>
    <x v="0"/>
    <d v="1984-10-28T00:00:00"/>
    <n v="41.288888888888891"/>
    <x v="1"/>
    <x v="2"/>
    <x v="2"/>
    <s v="Cairo"/>
    <d v="2023-06-07T00:00:00"/>
    <n v="2.6805555555555554"/>
    <n v="13083"/>
    <x v="0"/>
    <x v="0"/>
  </r>
  <r>
    <n v="53300"/>
    <s v="Emp 362"/>
    <s v="29611030184038"/>
    <x v="7"/>
    <x v="0"/>
    <d v="1996-11-03T00:00:00"/>
    <n v="29.274999999999999"/>
    <x v="0"/>
    <x v="0"/>
    <x v="2"/>
    <s v="Cairo"/>
    <d v="2023-06-08T00:00:00"/>
    <n v="2.6777777777777776"/>
    <n v="21587"/>
    <x v="0"/>
    <x v="0"/>
  </r>
  <r>
    <n v="55228"/>
    <s v="Emp 363"/>
    <s v="29007050159151"/>
    <x v="7"/>
    <x v="0"/>
    <d v="1990-07-05T00:00:00"/>
    <n v="35.602777777777774"/>
    <x v="1"/>
    <x v="1"/>
    <x v="4"/>
    <s v="Cairo"/>
    <d v="2023-06-09T00:00:00"/>
    <n v="2.6749999999999998"/>
    <n v="4392"/>
    <x v="0"/>
    <x v="1"/>
  </r>
  <r>
    <n v="55525"/>
    <s v="Emp 364"/>
    <s v="29911020177238"/>
    <x v="0"/>
    <x v="0"/>
    <d v="1999-11-02T00:00:00"/>
    <n v="26.277777777777779"/>
    <x v="0"/>
    <x v="2"/>
    <x v="0"/>
    <s v="Cairo"/>
    <d v="2023-06-10T00:00:00"/>
    <n v="2.6722222222222221"/>
    <n v="14997"/>
    <x v="0"/>
    <x v="0"/>
  </r>
  <r>
    <n v="58426"/>
    <s v="Emp 365"/>
    <s v="30008150172672"/>
    <x v="3"/>
    <x v="0"/>
    <d v="2000-08-15T00:00:00"/>
    <n v="25.491666666666667"/>
    <x v="0"/>
    <x v="1"/>
    <x v="3"/>
    <s v="Cairo"/>
    <d v="2023-06-11T00:00:00"/>
    <n v="2.6694444444444443"/>
    <n v="3126"/>
    <x v="0"/>
    <x v="1"/>
  </r>
  <r>
    <n v="58135"/>
    <s v="Emp 366"/>
    <s v="30204040162973"/>
    <x v="8"/>
    <x v="0"/>
    <d v="2002-04-04T00:00:00"/>
    <n v="23.855555555555554"/>
    <x v="0"/>
    <x v="0"/>
    <x v="3"/>
    <s v="Cairo"/>
    <d v="2023-06-12T00:00:00"/>
    <n v="2.6666666666666665"/>
    <n v="29078"/>
    <x v="0"/>
    <x v="0"/>
  </r>
  <r>
    <n v="59220"/>
    <s v="Emp 367"/>
    <s v="30209180167572"/>
    <x v="2"/>
    <x v="0"/>
    <d v="2002-09-18T00:00:00"/>
    <n v="23.4"/>
    <x v="1"/>
    <x v="1"/>
    <x v="3"/>
    <s v="Cairo"/>
    <d v="2023-06-13T00:00:00"/>
    <n v="2.6638888888888888"/>
    <n v="4898"/>
    <x v="0"/>
    <x v="1"/>
  </r>
  <r>
    <n v="55606"/>
    <s v="Emp 368"/>
    <s v="30105050188535"/>
    <x v="8"/>
    <x v="0"/>
    <d v="2001-05-05T00:00:00"/>
    <n v="24.769444444444446"/>
    <x v="0"/>
    <x v="2"/>
    <x v="0"/>
    <s v="Cairo"/>
    <d v="2023-06-14T00:00:00"/>
    <n v="2.661111111111111"/>
    <n v="14570"/>
    <x v="0"/>
    <x v="0"/>
  </r>
  <r>
    <n v="53403"/>
    <s v="Emp 369"/>
    <s v="30110250190355"/>
    <x v="4"/>
    <x v="0"/>
    <d v="2001-10-25T00:00:00"/>
    <n v="24.297222222222221"/>
    <x v="0"/>
    <x v="0"/>
    <x v="2"/>
    <s v="Cairo"/>
    <d v="2023-06-15T00:00:00"/>
    <n v="2.6583333333333332"/>
    <n v="25609"/>
    <x v="0"/>
    <x v="0"/>
  </r>
  <r>
    <n v="52167"/>
    <s v="Emp 370"/>
    <s v="28809200190097"/>
    <x v="8"/>
    <x v="0"/>
    <d v="1988-09-20T00:00:00"/>
    <n v="37.394444444444446"/>
    <x v="1"/>
    <x v="1"/>
    <x v="2"/>
    <s v="Cairo"/>
    <d v="2023-06-16T00:00:00"/>
    <n v="2.6555555555555554"/>
    <n v="5256"/>
    <x v="0"/>
    <x v="1"/>
  </r>
  <r>
    <n v="58071"/>
    <s v="Emp 371"/>
    <s v="29701080174934"/>
    <x v="8"/>
    <x v="0"/>
    <d v="1997-01-08T00:00:00"/>
    <n v="29.094444444444445"/>
    <x v="1"/>
    <x v="1"/>
    <x v="1"/>
    <s v="Cairo"/>
    <d v="2023-06-17T00:00:00"/>
    <n v="2.6527777777777777"/>
    <n v="3536"/>
    <x v="0"/>
    <x v="1"/>
  </r>
  <r>
    <n v="52634"/>
    <s v="Emp 372"/>
    <s v="29706070188854"/>
    <x v="2"/>
    <x v="0"/>
    <d v="1997-06-07T00:00:00"/>
    <n v="28.680555555555557"/>
    <x v="1"/>
    <x v="2"/>
    <x v="0"/>
    <s v="Cairo"/>
    <d v="2023-06-18T00:00:00"/>
    <n v="2.65"/>
    <n v="12027"/>
    <x v="0"/>
    <x v="0"/>
  </r>
  <r>
    <n v="54372"/>
    <s v="Emp 373"/>
    <s v="29502281752275"/>
    <x v="5"/>
    <x v="0"/>
    <d v="1995-02-28T00:00:00"/>
    <n v="30.95"/>
    <x v="0"/>
    <x v="1"/>
    <x v="3"/>
    <s v="Monufia"/>
    <d v="2023-06-19T00:00:00"/>
    <n v="2.6472222222222221"/>
    <n v="3683"/>
    <x v="0"/>
    <x v="1"/>
  </r>
  <r>
    <n v="50948"/>
    <s v="Emp 374"/>
    <s v="28211101381571"/>
    <x v="4"/>
    <x v="0"/>
    <d v="1982-11-10T00:00:00"/>
    <n v="43.255555555555553"/>
    <x v="0"/>
    <x v="1"/>
    <x v="2"/>
    <s v="Sharqia"/>
    <d v="2023-06-20T00:00:00"/>
    <n v="2.6444444444444444"/>
    <n v="5853"/>
    <x v="0"/>
    <x v="1"/>
  </r>
  <r>
    <n v="50027"/>
    <s v="Emp 375"/>
    <s v="28807141776971"/>
    <x v="0"/>
    <x v="0"/>
    <d v="1988-07-14T00:00:00"/>
    <n v="37.577777777777776"/>
    <x v="0"/>
    <x v="1"/>
    <x v="4"/>
    <s v="Monufia"/>
    <d v="2023-06-21T00:00:00"/>
    <n v="2.6416666666666666"/>
    <n v="5983"/>
    <x v="0"/>
    <x v="0"/>
  </r>
  <r>
    <n v="52966"/>
    <s v="Emp 376"/>
    <s v="29410010257399"/>
    <x v="9"/>
    <x v="0"/>
    <d v="1994-10-01T00:00:00"/>
    <n v="31.363888888888887"/>
    <x v="1"/>
    <x v="2"/>
    <x v="0"/>
    <s v="Alexandria"/>
    <d v="2023-06-22T00:00:00"/>
    <n v="2.6388888888888888"/>
    <n v="12617"/>
    <x v="0"/>
    <x v="0"/>
  </r>
  <r>
    <n v="54756"/>
    <s v="Emp 377"/>
    <s v="30212191778197"/>
    <x v="0"/>
    <x v="0"/>
    <d v="2002-12-19T00:00:00"/>
    <n v="23.147222222222222"/>
    <x v="0"/>
    <x v="1"/>
    <x v="4"/>
    <s v="Monufia"/>
    <d v="2023-06-23T00:00:00"/>
    <n v="2.6361111111111111"/>
    <n v="5658"/>
    <x v="0"/>
    <x v="1"/>
  </r>
  <r>
    <n v="57638"/>
    <s v="Emp 378"/>
    <s v="29103242162276"/>
    <x v="8"/>
    <x v="0"/>
    <d v="1991-03-24T00:00:00"/>
    <n v="34.883333333333333"/>
    <x v="0"/>
    <x v="1"/>
    <x v="4"/>
    <s v="Giza"/>
    <d v="2023-06-24T00:00:00"/>
    <n v="2.6333333333333333"/>
    <n v="4446"/>
    <x v="0"/>
    <x v="1"/>
  </r>
  <r>
    <n v="51913"/>
    <s v="Emp 379"/>
    <s v="30305281984875"/>
    <x v="4"/>
    <x v="0"/>
    <d v="2003-05-28T00:00:00"/>
    <n v="22.705555555555556"/>
    <x v="1"/>
    <x v="1"/>
    <x v="3"/>
    <s v="Ismailia"/>
    <d v="2023-06-25T00:00:00"/>
    <n v="2.6305555555555555"/>
    <n v="5585"/>
    <x v="0"/>
    <x v="1"/>
  </r>
  <r>
    <n v="54319"/>
    <s v="Emp 380"/>
    <s v="28904281775779"/>
    <x v="8"/>
    <x v="0"/>
    <d v="1989-04-28T00:00:00"/>
    <n v="36.788888888888891"/>
    <x v="1"/>
    <x v="1"/>
    <x v="4"/>
    <s v="Monufia"/>
    <d v="2023-06-26T00:00:00"/>
    <n v="2.6277777777777778"/>
    <n v="6335"/>
    <x v="0"/>
    <x v="0"/>
  </r>
  <r>
    <n v="58229"/>
    <s v="Emp 381"/>
    <s v="29208241788674"/>
    <x v="4"/>
    <x v="0"/>
    <d v="1992-08-24T00:00:00"/>
    <n v="33.466666666666669"/>
    <x v="0"/>
    <x v="0"/>
    <x v="0"/>
    <s v="Monufia"/>
    <d v="2023-06-27T00:00:00"/>
    <n v="2.625"/>
    <n v="23948"/>
    <x v="0"/>
    <x v="0"/>
  </r>
  <r>
    <n v="53627"/>
    <s v="Emp 382"/>
    <s v="28804201991331"/>
    <x v="4"/>
    <x v="0"/>
    <d v="1988-04-20T00:00:00"/>
    <n v="37.81111111111111"/>
    <x v="0"/>
    <x v="1"/>
    <x v="2"/>
    <s v="Ismailia"/>
    <d v="2023-06-28T00:00:00"/>
    <n v="2.6222222222222222"/>
    <n v="4530"/>
    <x v="0"/>
    <x v="1"/>
  </r>
  <r>
    <n v="58717"/>
    <s v="Emp 383"/>
    <s v="29912190268873"/>
    <x v="6"/>
    <x v="0"/>
    <d v="1999-12-19T00:00:00"/>
    <n v="26.147222222222222"/>
    <x v="1"/>
    <x v="1"/>
    <x v="1"/>
    <s v="Alexandria"/>
    <d v="2023-06-29T00:00:00"/>
    <n v="2.6194444444444445"/>
    <n v="5106"/>
    <x v="0"/>
    <x v="1"/>
  </r>
  <r>
    <n v="54089"/>
    <s v="Emp 384"/>
    <s v="28511270289737"/>
    <x v="0"/>
    <x v="0"/>
    <d v="1985-11-27T00:00:00"/>
    <n v="40.208333333333336"/>
    <x v="1"/>
    <x v="1"/>
    <x v="0"/>
    <s v="Alexandria"/>
    <d v="2023-06-30T00:00:00"/>
    <n v="2.6166666666666667"/>
    <n v="6573"/>
    <x v="0"/>
    <x v="0"/>
  </r>
  <r>
    <n v="59860"/>
    <s v="Emp 385"/>
    <s v="28410091970197"/>
    <x v="5"/>
    <x v="0"/>
    <d v="1984-10-09T00:00:00"/>
    <n v="41.341666666666669"/>
    <x v="1"/>
    <x v="0"/>
    <x v="4"/>
    <s v="Ismailia"/>
    <d v="2023-07-01T00:00:00"/>
    <n v="2.6138888888888889"/>
    <n v="26051"/>
    <x v="1"/>
    <x v="0"/>
  </r>
  <r>
    <n v="52553"/>
    <s v="Emp 386"/>
    <s v="30011161982577"/>
    <x v="2"/>
    <x v="0"/>
    <d v="2000-11-16T00:00:00"/>
    <n v="25.238888888888887"/>
    <x v="1"/>
    <x v="0"/>
    <x v="0"/>
    <s v="Ismailia"/>
    <d v="2023-07-02T00:00:00"/>
    <n v="2.6111111111111112"/>
    <n v="18446"/>
    <x v="1"/>
    <x v="0"/>
  </r>
  <r>
    <n v="59554"/>
    <s v="Emp 387"/>
    <s v="28506010187699"/>
    <x v="5"/>
    <x v="0"/>
    <d v="1985-06-01T00:00:00"/>
    <n v="40.697222222222223"/>
    <x v="0"/>
    <x v="1"/>
    <x v="4"/>
    <s v="Cairo"/>
    <d v="2023-07-03T00:00:00"/>
    <n v="2.6083333333333334"/>
    <n v="5267"/>
    <x v="1"/>
    <x v="1"/>
  </r>
  <r>
    <n v="58457"/>
    <s v="Emp 388"/>
    <s v="30211280158378"/>
    <x v="5"/>
    <x v="0"/>
    <d v="2002-11-28T00:00:00"/>
    <n v="23.205555555555556"/>
    <x v="0"/>
    <x v="1"/>
    <x v="3"/>
    <s v="Cairo"/>
    <d v="2023-07-04T00:00:00"/>
    <n v="2.6055555555555556"/>
    <n v="3485"/>
    <x v="1"/>
    <x v="1"/>
  </r>
  <r>
    <n v="57415"/>
    <s v="Emp 389"/>
    <s v="28705181371276"/>
    <x v="5"/>
    <x v="0"/>
    <d v="1987-05-18T00:00:00"/>
    <n v="38.733333333333334"/>
    <x v="0"/>
    <x v="1"/>
    <x v="4"/>
    <s v="Sharqia"/>
    <d v="2023-07-05T00:00:00"/>
    <n v="2.6027777777777779"/>
    <n v="4480"/>
    <x v="1"/>
    <x v="1"/>
  </r>
  <r>
    <n v="55662"/>
    <s v="Emp 390"/>
    <s v="29111170161753"/>
    <x v="2"/>
    <x v="0"/>
    <d v="1991-11-17T00:00:00"/>
    <n v="34.236111111111114"/>
    <x v="0"/>
    <x v="2"/>
    <x v="2"/>
    <s v="Cairo"/>
    <d v="2023-07-06T00:00:00"/>
    <n v="2.6"/>
    <n v="11820"/>
    <x v="1"/>
    <x v="0"/>
  </r>
  <r>
    <n v="59426"/>
    <s v="Emp 391"/>
    <s v="29311202177153"/>
    <x v="7"/>
    <x v="0"/>
    <d v="1993-11-20T00:00:00"/>
    <n v="32.227777777777774"/>
    <x v="0"/>
    <x v="2"/>
    <x v="2"/>
    <s v="Giza"/>
    <d v="2023-07-07T00:00:00"/>
    <n v="2.5972222222222223"/>
    <n v="14286"/>
    <x v="1"/>
    <x v="0"/>
  </r>
  <r>
    <n v="59769"/>
    <s v="Emp 392"/>
    <s v="30011262158379"/>
    <x v="8"/>
    <x v="0"/>
    <d v="2000-11-26T00:00:00"/>
    <n v="25.211111111111112"/>
    <x v="0"/>
    <x v="1"/>
    <x v="2"/>
    <s v="Giza"/>
    <d v="2023-07-08T00:00:00"/>
    <n v="2.5944444444444446"/>
    <n v="3967"/>
    <x v="1"/>
    <x v="1"/>
  </r>
  <r>
    <n v="52014"/>
    <s v="Emp 393"/>
    <s v="28910242183411"/>
    <x v="9"/>
    <x v="0"/>
    <d v="1989-10-24T00:00:00"/>
    <n v="36.299999999999997"/>
    <x v="1"/>
    <x v="1"/>
    <x v="1"/>
    <s v="Giza"/>
    <d v="2023-07-09T00:00:00"/>
    <n v="2.5916666666666668"/>
    <n v="3544"/>
    <x v="1"/>
    <x v="1"/>
  </r>
  <r>
    <n v="54018"/>
    <s v="Emp 394"/>
    <s v="29202222160157"/>
    <x v="9"/>
    <x v="0"/>
    <d v="1992-02-22T00:00:00"/>
    <n v="33.972222222222221"/>
    <x v="0"/>
    <x v="1"/>
    <x v="4"/>
    <s v="Giza"/>
    <d v="2023-07-10T00:00:00"/>
    <n v="2.588888888888889"/>
    <n v="5996"/>
    <x v="1"/>
    <x v="0"/>
  </r>
  <r>
    <n v="50032"/>
    <s v="Emp 395"/>
    <s v="29710160177776"/>
    <x v="4"/>
    <x v="0"/>
    <d v="1997-10-16T00:00:00"/>
    <n v="28.322222222222223"/>
    <x v="0"/>
    <x v="0"/>
    <x v="1"/>
    <s v="Cairo"/>
    <d v="2023-07-11T00:00:00"/>
    <n v="2.5861111111111112"/>
    <n v="29143"/>
    <x v="1"/>
    <x v="0"/>
  </r>
  <r>
    <n v="52301"/>
    <s v="Emp 396"/>
    <s v="30011170186057"/>
    <x v="5"/>
    <x v="0"/>
    <d v="2000-11-17T00:00:00"/>
    <n v="25.236111111111111"/>
    <x v="0"/>
    <x v="2"/>
    <x v="1"/>
    <s v="Cairo"/>
    <d v="2023-07-12T00:00:00"/>
    <n v="2.5833333333333335"/>
    <n v="13102"/>
    <x v="1"/>
    <x v="0"/>
  </r>
  <r>
    <n v="56317"/>
    <s v="Emp 397"/>
    <s v="28805231978662"/>
    <x v="7"/>
    <x v="1"/>
    <d v="1988-05-23T00:00:00"/>
    <n v="37.719444444444441"/>
    <x v="0"/>
    <x v="2"/>
    <x v="0"/>
    <s v="Ismailia"/>
    <d v="2023-07-13T00:00:00"/>
    <n v="2.5805555555555557"/>
    <n v="11719"/>
    <x v="1"/>
    <x v="0"/>
  </r>
  <r>
    <n v="55447"/>
    <s v="Emp 398"/>
    <s v="28202032174849"/>
    <x v="5"/>
    <x v="1"/>
    <d v="1982-02-03T00:00:00"/>
    <n v="44.024999999999999"/>
    <x v="1"/>
    <x v="1"/>
    <x v="2"/>
    <s v="Giza"/>
    <d v="2023-07-14T00:00:00"/>
    <n v="2.5777777777777779"/>
    <n v="5669"/>
    <x v="1"/>
    <x v="1"/>
  </r>
  <r>
    <n v="50919"/>
    <s v="Emp 399"/>
    <s v="28508090151694"/>
    <x v="6"/>
    <x v="0"/>
    <d v="1985-08-09T00:00:00"/>
    <n v="40.508333333333333"/>
    <x v="0"/>
    <x v="1"/>
    <x v="4"/>
    <s v="Cairo"/>
    <d v="2023-07-15T00:00:00"/>
    <n v="2.5750000000000002"/>
    <n v="4426"/>
    <x v="1"/>
    <x v="1"/>
  </r>
  <r>
    <n v="54241"/>
    <s v="Emp 400"/>
    <s v="28701251354837"/>
    <x v="6"/>
    <x v="0"/>
    <d v="1987-01-25T00:00:00"/>
    <n v="39.047222222222224"/>
    <x v="1"/>
    <x v="0"/>
    <x v="4"/>
    <s v="Sharqia"/>
    <d v="2023-07-16T00:00:00"/>
    <n v="2.5722222222222224"/>
    <n v="24066"/>
    <x v="1"/>
    <x v="0"/>
  </r>
  <r>
    <n v="57535"/>
    <s v="Emp 401"/>
    <s v="30306170157334"/>
    <x v="6"/>
    <x v="0"/>
    <d v="2003-06-17T00:00:00"/>
    <n v="22.652777777777779"/>
    <x v="0"/>
    <x v="1"/>
    <x v="4"/>
    <s v="Cairo"/>
    <d v="2023-07-17T00:00:00"/>
    <n v="2.5694444444444446"/>
    <n v="5314"/>
    <x v="1"/>
    <x v="1"/>
  </r>
  <r>
    <n v="52774"/>
    <s v="Emp 402"/>
    <s v="29907192162821"/>
    <x v="5"/>
    <x v="1"/>
    <d v="1999-07-19T00:00:00"/>
    <n v="26.56388888888889"/>
    <x v="1"/>
    <x v="1"/>
    <x v="1"/>
    <s v="Giza"/>
    <d v="2023-07-18T00:00:00"/>
    <n v="2.5666666666666669"/>
    <n v="3689"/>
    <x v="1"/>
    <x v="1"/>
  </r>
  <r>
    <n v="55806"/>
    <s v="Emp 403"/>
    <s v="29905181776381"/>
    <x v="8"/>
    <x v="1"/>
    <d v="1999-05-18T00:00:00"/>
    <n v="26.733333333333334"/>
    <x v="0"/>
    <x v="1"/>
    <x v="2"/>
    <s v="Monufia"/>
    <d v="2023-07-19T00:00:00"/>
    <n v="2.5638888888888891"/>
    <n v="5523"/>
    <x v="1"/>
    <x v="1"/>
  </r>
  <r>
    <n v="50660"/>
    <s v="Emp 404"/>
    <s v="30311242182473"/>
    <x v="5"/>
    <x v="0"/>
    <d v="2003-11-24T00:00:00"/>
    <n v="22.216666666666665"/>
    <x v="1"/>
    <x v="1"/>
    <x v="2"/>
    <s v="Giza"/>
    <d v="2023-07-20T00:00:00"/>
    <n v="2.5611111111111109"/>
    <n v="6377"/>
    <x v="1"/>
    <x v="0"/>
  </r>
  <r>
    <n v="59843"/>
    <s v="Emp 405"/>
    <s v="30006041355443"/>
    <x v="9"/>
    <x v="1"/>
    <d v="2000-06-04T00:00:00"/>
    <n v="25.68888888888889"/>
    <x v="0"/>
    <x v="0"/>
    <x v="2"/>
    <s v="Sharqia"/>
    <d v="2023-07-21T00:00:00"/>
    <n v="2.5583333333333331"/>
    <n v="23897"/>
    <x v="1"/>
    <x v="0"/>
  </r>
  <r>
    <n v="52513"/>
    <s v="Emp 406"/>
    <s v="28510021361174"/>
    <x v="4"/>
    <x v="0"/>
    <d v="1985-10-02T00:00:00"/>
    <n v="40.361111111111114"/>
    <x v="0"/>
    <x v="1"/>
    <x v="4"/>
    <s v="Sharqia"/>
    <d v="2023-07-22T00:00:00"/>
    <n v="2.5555555555555554"/>
    <n v="4198"/>
    <x v="1"/>
    <x v="1"/>
  </r>
  <r>
    <n v="51930"/>
    <s v="Emp 407"/>
    <s v="29609241754535"/>
    <x v="0"/>
    <x v="0"/>
    <d v="1996-09-24T00:00:00"/>
    <n v="29.383333333333333"/>
    <x v="0"/>
    <x v="2"/>
    <x v="3"/>
    <s v="Monufia"/>
    <d v="2023-07-23T00:00:00"/>
    <n v="2.5527777777777776"/>
    <n v="13732"/>
    <x v="1"/>
    <x v="0"/>
  </r>
  <r>
    <n v="56227"/>
    <s v="Emp 408"/>
    <s v="29807021981489"/>
    <x v="0"/>
    <x v="1"/>
    <d v="1998-07-02T00:00:00"/>
    <n v="27.611111111111111"/>
    <x v="1"/>
    <x v="1"/>
    <x v="2"/>
    <s v="Ismailia"/>
    <d v="2023-07-24T00:00:00"/>
    <n v="2.5499999999999998"/>
    <n v="5576"/>
    <x v="1"/>
    <x v="1"/>
  </r>
  <r>
    <n v="58329"/>
    <s v="Emp 409"/>
    <s v="29411041764915"/>
    <x v="4"/>
    <x v="0"/>
    <d v="1994-11-04T00:00:00"/>
    <n v="31.272222222222222"/>
    <x v="0"/>
    <x v="2"/>
    <x v="4"/>
    <s v="Monufia"/>
    <d v="2023-07-25T00:00:00"/>
    <n v="2.5472222222222221"/>
    <n v="10531"/>
    <x v="1"/>
    <x v="0"/>
  </r>
  <r>
    <n v="58688"/>
    <s v="Emp 410"/>
    <s v="29905091375251"/>
    <x v="8"/>
    <x v="0"/>
    <d v="1999-05-09T00:00:00"/>
    <n v="26.758333333333333"/>
    <x v="1"/>
    <x v="1"/>
    <x v="4"/>
    <s v="Sharqia"/>
    <d v="2023-07-26T00:00:00"/>
    <n v="2.5444444444444443"/>
    <n v="4048"/>
    <x v="1"/>
    <x v="1"/>
  </r>
  <r>
    <n v="58599"/>
    <s v="Emp 411"/>
    <s v="29206071370519"/>
    <x v="2"/>
    <x v="0"/>
    <d v="1992-06-07T00:00:00"/>
    <n v="33.680555555555557"/>
    <x v="0"/>
    <x v="1"/>
    <x v="1"/>
    <s v="Sharqia"/>
    <d v="2023-07-27T00:00:00"/>
    <n v="2.5416666666666665"/>
    <n v="6559"/>
    <x v="1"/>
    <x v="0"/>
  </r>
  <r>
    <n v="54201"/>
    <s v="Emp 412"/>
    <s v="28408081754374"/>
    <x v="3"/>
    <x v="0"/>
    <d v="1984-08-08T00:00:00"/>
    <n v="41.511111111111113"/>
    <x v="0"/>
    <x v="2"/>
    <x v="4"/>
    <s v="Monufia"/>
    <d v="2023-07-28T00:00:00"/>
    <n v="2.5388888888888888"/>
    <n v="13249"/>
    <x v="1"/>
    <x v="0"/>
  </r>
  <r>
    <n v="51199"/>
    <s v="Emp 413"/>
    <s v="29904020268699"/>
    <x v="4"/>
    <x v="0"/>
    <d v="1999-04-02T00:00:00"/>
    <n v="26.861111111111111"/>
    <x v="0"/>
    <x v="1"/>
    <x v="3"/>
    <s v="Alexandria"/>
    <d v="2023-07-29T00:00:00"/>
    <n v="2.536111111111111"/>
    <n v="5934"/>
    <x v="1"/>
    <x v="1"/>
  </r>
  <r>
    <n v="53936"/>
    <s v="Emp 414"/>
    <s v="28502111987426"/>
    <x v="9"/>
    <x v="1"/>
    <d v="1985-02-11T00:00:00"/>
    <n v="41.00277777777778"/>
    <x v="1"/>
    <x v="2"/>
    <x v="1"/>
    <s v="Ismailia"/>
    <d v="2023-07-30T00:00:00"/>
    <n v="2.5333333333333332"/>
    <n v="13448"/>
    <x v="1"/>
    <x v="0"/>
  </r>
  <r>
    <n v="55305"/>
    <s v="Emp 415"/>
    <s v="28310030266024"/>
    <x v="5"/>
    <x v="1"/>
    <d v="1983-10-03T00:00:00"/>
    <n v="42.358333333333334"/>
    <x v="0"/>
    <x v="1"/>
    <x v="4"/>
    <s v="Alexandria"/>
    <d v="2023-07-31T00:00:00"/>
    <n v="2.5333333333333332"/>
    <n v="6022"/>
    <x v="1"/>
    <x v="0"/>
  </r>
  <r>
    <n v="53896"/>
    <s v="Emp 416"/>
    <s v="29103241790928"/>
    <x v="4"/>
    <x v="1"/>
    <d v="1991-03-24T00:00:00"/>
    <n v="34.883333333333333"/>
    <x v="0"/>
    <x v="1"/>
    <x v="4"/>
    <s v="Monufia"/>
    <d v="2023-08-01T00:00:00"/>
    <n v="2.5305555555555554"/>
    <n v="3288"/>
    <x v="2"/>
    <x v="1"/>
  </r>
  <r>
    <n v="57853"/>
    <s v="Emp 417"/>
    <s v="29010101960366"/>
    <x v="5"/>
    <x v="1"/>
    <d v="1990-10-10T00:00:00"/>
    <n v="35.338888888888889"/>
    <x v="1"/>
    <x v="0"/>
    <x v="3"/>
    <s v="Ismailia"/>
    <d v="2023-08-02T00:00:00"/>
    <n v="2.5277777777777777"/>
    <n v="26028"/>
    <x v="2"/>
    <x v="0"/>
  </r>
  <r>
    <n v="54519"/>
    <s v="Emp 418"/>
    <s v="29304030259732"/>
    <x v="7"/>
    <x v="0"/>
    <d v="1993-04-03T00:00:00"/>
    <n v="32.858333333333334"/>
    <x v="1"/>
    <x v="2"/>
    <x v="0"/>
    <s v="Alexandria"/>
    <d v="2023-08-03T00:00:00"/>
    <n v="2.5249999999999999"/>
    <n v="13169"/>
    <x v="2"/>
    <x v="0"/>
  </r>
  <r>
    <n v="52652"/>
    <s v="Emp 419"/>
    <s v="30102202162449"/>
    <x v="5"/>
    <x v="1"/>
    <d v="2001-02-20T00:00:00"/>
    <n v="24.977777777777778"/>
    <x v="1"/>
    <x v="1"/>
    <x v="1"/>
    <s v="Giza"/>
    <d v="2023-08-04T00:00:00"/>
    <n v="2.5222222222222221"/>
    <n v="4109"/>
    <x v="2"/>
    <x v="1"/>
  </r>
  <r>
    <n v="56006"/>
    <s v="Emp 420"/>
    <s v="29601192175142"/>
    <x v="5"/>
    <x v="1"/>
    <d v="1996-01-19T00:00:00"/>
    <n v="30.06388888888889"/>
    <x v="0"/>
    <x v="1"/>
    <x v="3"/>
    <s v="Giza"/>
    <d v="2023-08-05T00:00:00"/>
    <n v="2.5194444444444444"/>
    <n v="3707"/>
    <x v="2"/>
    <x v="1"/>
  </r>
  <r>
    <n v="53535"/>
    <s v="Emp 421"/>
    <s v="28312282159528"/>
    <x v="0"/>
    <x v="1"/>
    <d v="1983-12-28T00:00:00"/>
    <n v="42.12222222222222"/>
    <x v="1"/>
    <x v="2"/>
    <x v="3"/>
    <s v="Giza"/>
    <d v="2023-08-06T00:00:00"/>
    <n v="2.5166666666666666"/>
    <n v="13096"/>
    <x v="2"/>
    <x v="0"/>
  </r>
  <r>
    <n v="51399"/>
    <s v="Emp 422"/>
    <s v="29307252179711"/>
    <x v="1"/>
    <x v="0"/>
    <d v="1993-07-25T00:00:00"/>
    <n v="32.547222222222224"/>
    <x v="1"/>
    <x v="1"/>
    <x v="2"/>
    <s v="Giza"/>
    <d v="2023-08-07T00:00:00"/>
    <n v="2.5138888888888888"/>
    <n v="6083"/>
    <x v="2"/>
    <x v="0"/>
  </r>
  <r>
    <n v="53419"/>
    <s v="Emp 423"/>
    <s v="30310181391395"/>
    <x v="8"/>
    <x v="0"/>
    <d v="2003-10-18T00:00:00"/>
    <n v="22.316666666666666"/>
    <x v="0"/>
    <x v="2"/>
    <x v="0"/>
    <s v="Sharqia"/>
    <d v="2023-08-08T00:00:00"/>
    <n v="2.5111111111111111"/>
    <n v="11106"/>
    <x v="2"/>
    <x v="0"/>
  </r>
  <r>
    <n v="57568"/>
    <s v="Emp 424"/>
    <s v="29708190266877"/>
    <x v="5"/>
    <x v="0"/>
    <d v="1997-08-19T00:00:00"/>
    <n v="28.480555555555554"/>
    <x v="0"/>
    <x v="1"/>
    <x v="0"/>
    <s v="Alexandria"/>
    <d v="2023-08-09T00:00:00"/>
    <n v="2.5083333333333333"/>
    <n v="4556"/>
    <x v="2"/>
    <x v="1"/>
  </r>
  <r>
    <n v="52544"/>
    <s v="Emp 425"/>
    <s v="29107120158079"/>
    <x v="4"/>
    <x v="0"/>
    <d v="1991-07-12T00:00:00"/>
    <n v="34.583333333333336"/>
    <x v="0"/>
    <x v="2"/>
    <x v="1"/>
    <s v="Cairo"/>
    <d v="2023-08-10T00:00:00"/>
    <n v="2.5055555555555555"/>
    <n v="11433"/>
    <x v="2"/>
    <x v="0"/>
  </r>
  <r>
    <n v="56784"/>
    <s v="Emp 426"/>
    <s v="28908061386879"/>
    <x v="7"/>
    <x v="0"/>
    <d v="1989-08-06T00:00:00"/>
    <n v="36.516666666666666"/>
    <x v="1"/>
    <x v="2"/>
    <x v="2"/>
    <s v="Sharqia"/>
    <d v="2023-08-11T00:00:00"/>
    <n v="2.5027777777777778"/>
    <n v="11004"/>
    <x v="2"/>
    <x v="0"/>
  </r>
  <r>
    <n v="54256"/>
    <s v="Emp 427"/>
    <s v="29608031954699"/>
    <x v="6"/>
    <x v="0"/>
    <d v="1996-08-03T00:00:00"/>
    <n v="29.524999999999999"/>
    <x v="0"/>
    <x v="0"/>
    <x v="0"/>
    <s v="Ismailia"/>
    <d v="2023-08-12T00:00:00"/>
    <n v="2.5"/>
    <n v="29116"/>
    <x v="2"/>
    <x v="0"/>
  </r>
  <r>
    <n v="50131"/>
    <s v="Emp 428"/>
    <s v="28509271379313"/>
    <x v="8"/>
    <x v="0"/>
    <d v="1985-09-27T00:00:00"/>
    <n v="40.375"/>
    <x v="1"/>
    <x v="0"/>
    <x v="2"/>
    <s v="Sharqia"/>
    <d v="2023-08-13T00:00:00"/>
    <n v="2.4972222222222222"/>
    <n v="20122"/>
    <x v="2"/>
    <x v="0"/>
  </r>
  <r>
    <n v="50119"/>
    <s v="Emp 429"/>
    <s v="29502200280228"/>
    <x v="3"/>
    <x v="1"/>
    <d v="1995-02-20T00:00:00"/>
    <n v="30.977777777777778"/>
    <x v="0"/>
    <x v="2"/>
    <x v="3"/>
    <s v="Alexandria"/>
    <d v="2023-08-14T00:00:00"/>
    <n v="2.4944444444444445"/>
    <n v="14181"/>
    <x v="2"/>
    <x v="0"/>
  </r>
  <r>
    <n v="58069"/>
    <s v="Emp 430"/>
    <s v="28305271377956"/>
    <x v="1"/>
    <x v="0"/>
    <d v="1983-05-27T00:00:00"/>
    <n v="42.708333333333336"/>
    <x v="0"/>
    <x v="1"/>
    <x v="2"/>
    <s v="Sharqia"/>
    <d v="2023-08-15T00:00:00"/>
    <n v="2.4916666666666667"/>
    <n v="4437"/>
    <x v="2"/>
    <x v="1"/>
  </r>
  <r>
    <n v="57372"/>
    <s v="Emp 431"/>
    <s v="30208061391192"/>
    <x v="9"/>
    <x v="0"/>
    <d v="2002-08-06T00:00:00"/>
    <n v="23.516666666666666"/>
    <x v="0"/>
    <x v="1"/>
    <x v="4"/>
    <s v="Sharqia"/>
    <d v="2023-08-16T00:00:00"/>
    <n v="2.4888888888888889"/>
    <n v="3391"/>
    <x v="2"/>
    <x v="1"/>
  </r>
  <r>
    <n v="58728"/>
    <s v="Emp 432"/>
    <s v="29312081786591"/>
    <x v="4"/>
    <x v="0"/>
    <d v="1993-12-08T00:00:00"/>
    <n v="32.177777777777777"/>
    <x v="1"/>
    <x v="0"/>
    <x v="0"/>
    <s v="Monufia"/>
    <d v="2023-08-17T00:00:00"/>
    <n v="2.4861111111111112"/>
    <n v="22070"/>
    <x v="2"/>
    <x v="0"/>
  </r>
  <r>
    <n v="59593"/>
    <s v="Emp 433"/>
    <s v="28311151988767"/>
    <x v="1"/>
    <x v="1"/>
    <d v="1983-11-15T00:00:00"/>
    <n v="42.241666666666667"/>
    <x v="0"/>
    <x v="1"/>
    <x v="4"/>
    <s v="Ismailia"/>
    <d v="2023-08-18T00:00:00"/>
    <n v="2.4833333333333334"/>
    <n v="6048"/>
    <x v="2"/>
    <x v="0"/>
  </r>
  <r>
    <n v="50999"/>
    <s v="Emp 434"/>
    <s v="29107021380472"/>
    <x v="1"/>
    <x v="0"/>
    <d v="1991-07-02T00:00:00"/>
    <n v="34.611111111111114"/>
    <x v="1"/>
    <x v="2"/>
    <x v="3"/>
    <s v="Sharqia"/>
    <d v="2023-08-19T00:00:00"/>
    <n v="2.4805555555555556"/>
    <n v="14401"/>
    <x v="2"/>
    <x v="0"/>
  </r>
  <r>
    <n v="52433"/>
    <s v="Emp 435"/>
    <s v="29211091768034"/>
    <x v="6"/>
    <x v="0"/>
    <d v="1992-11-09T00:00:00"/>
    <n v="33.258333333333333"/>
    <x v="1"/>
    <x v="1"/>
    <x v="0"/>
    <s v="Monufia"/>
    <d v="2023-08-20T00:00:00"/>
    <n v="2.4777777777777779"/>
    <n v="4581"/>
    <x v="2"/>
    <x v="1"/>
  </r>
  <r>
    <n v="53476"/>
    <s v="Emp 436"/>
    <s v="29909110182528"/>
    <x v="7"/>
    <x v="1"/>
    <d v="1999-09-11T00:00:00"/>
    <n v="26.419444444444444"/>
    <x v="1"/>
    <x v="0"/>
    <x v="1"/>
    <s v="Cairo"/>
    <d v="2023-08-21T00:00:00"/>
    <n v="2.4750000000000001"/>
    <n v="24302"/>
    <x v="2"/>
    <x v="0"/>
  </r>
  <r>
    <n v="54718"/>
    <s v="Emp 437"/>
    <s v="29609181368799"/>
    <x v="9"/>
    <x v="0"/>
    <d v="1996-09-18T00:00:00"/>
    <n v="29.4"/>
    <x v="1"/>
    <x v="1"/>
    <x v="0"/>
    <s v="Sharqia"/>
    <d v="2023-08-22T00:00:00"/>
    <n v="2.4722222222222223"/>
    <n v="6952"/>
    <x v="2"/>
    <x v="0"/>
  </r>
  <r>
    <n v="58749"/>
    <s v="Emp 438"/>
    <s v="29006260258225"/>
    <x v="0"/>
    <x v="1"/>
    <d v="1990-06-26T00:00:00"/>
    <n v="35.62777777777778"/>
    <x v="1"/>
    <x v="1"/>
    <x v="1"/>
    <s v="Alexandria"/>
    <d v="2023-08-23T00:00:00"/>
    <n v="2.4694444444444446"/>
    <n v="6487"/>
    <x v="2"/>
    <x v="0"/>
  </r>
  <r>
    <n v="55686"/>
    <s v="Emp 439"/>
    <s v="29008111960865"/>
    <x v="1"/>
    <x v="1"/>
    <d v="1990-08-11T00:00:00"/>
    <n v="35.50277777777778"/>
    <x v="0"/>
    <x v="1"/>
    <x v="4"/>
    <s v="Ismailia"/>
    <d v="2023-08-24T00:00:00"/>
    <n v="2.4666666666666668"/>
    <n v="4454"/>
    <x v="2"/>
    <x v="1"/>
  </r>
  <r>
    <n v="56004"/>
    <s v="Emp 440"/>
    <s v="30212202185637"/>
    <x v="7"/>
    <x v="0"/>
    <d v="2002-12-20T00:00:00"/>
    <n v="23.144444444444446"/>
    <x v="1"/>
    <x v="0"/>
    <x v="0"/>
    <s v="Giza"/>
    <d v="2023-08-25T00:00:00"/>
    <n v="2.463888888888889"/>
    <n v="29258"/>
    <x v="2"/>
    <x v="0"/>
  </r>
  <r>
    <n v="53329"/>
    <s v="Emp 441"/>
    <s v="30007051382386"/>
    <x v="3"/>
    <x v="1"/>
    <d v="2000-07-05T00:00:00"/>
    <n v="25.602777777777778"/>
    <x v="1"/>
    <x v="0"/>
    <x v="2"/>
    <s v="Sharqia"/>
    <d v="2023-08-26T00:00:00"/>
    <n v="2.4611111111111112"/>
    <n v="24838"/>
    <x v="2"/>
    <x v="0"/>
  </r>
  <r>
    <n v="52368"/>
    <s v="Emp 442"/>
    <s v="29101271789492"/>
    <x v="9"/>
    <x v="0"/>
    <d v="1991-01-27T00:00:00"/>
    <n v="35.041666666666664"/>
    <x v="1"/>
    <x v="1"/>
    <x v="4"/>
    <s v="Monufia"/>
    <d v="2023-08-27T00:00:00"/>
    <n v="2.4583333333333335"/>
    <n v="4867"/>
    <x v="2"/>
    <x v="1"/>
  </r>
  <r>
    <n v="55082"/>
    <s v="Emp 443"/>
    <s v="29906231971539"/>
    <x v="0"/>
    <x v="0"/>
    <d v="1999-06-23T00:00:00"/>
    <n v="26.636111111111113"/>
    <x v="1"/>
    <x v="1"/>
    <x v="0"/>
    <s v="Ismailia"/>
    <d v="2023-08-28T00:00:00"/>
    <n v="2.4555555555555557"/>
    <n v="6647"/>
    <x v="2"/>
    <x v="0"/>
  </r>
  <r>
    <n v="59439"/>
    <s v="Emp 444"/>
    <s v="28709081390974"/>
    <x v="6"/>
    <x v="0"/>
    <d v="1987-09-08T00:00:00"/>
    <n v="38.427777777777777"/>
    <x v="0"/>
    <x v="1"/>
    <x v="3"/>
    <s v="Sharqia"/>
    <d v="2023-08-29T00:00:00"/>
    <n v="2.4527777777777779"/>
    <n v="5041"/>
    <x v="2"/>
    <x v="1"/>
  </r>
  <r>
    <n v="56382"/>
    <s v="Emp 445"/>
    <s v="30206011985462"/>
    <x v="8"/>
    <x v="1"/>
    <d v="2002-06-01T00:00:00"/>
    <n v="23.697222222222223"/>
    <x v="1"/>
    <x v="1"/>
    <x v="4"/>
    <s v="Ismailia"/>
    <d v="2023-08-30T00:00:00"/>
    <n v="2.4500000000000002"/>
    <n v="6348"/>
    <x v="2"/>
    <x v="0"/>
  </r>
  <r>
    <n v="55586"/>
    <s v="Emp 446"/>
    <s v="30012071352992"/>
    <x v="3"/>
    <x v="0"/>
    <d v="2000-12-07T00:00:00"/>
    <n v="25.180555555555557"/>
    <x v="1"/>
    <x v="1"/>
    <x v="4"/>
    <s v="Sharqia"/>
    <d v="2023-08-31T00:00:00"/>
    <n v="2.4500000000000002"/>
    <n v="5374"/>
    <x v="2"/>
    <x v="1"/>
  </r>
  <r>
    <n v="58004"/>
    <s v="Emp 447"/>
    <s v="30002010253434"/>
    <x v="6"/>
    <x v="0"/>
    <d v="2000-02-01T00:00:00"/>
    <n v="26.030555555555555"/>
    <x v="1"/>
    <x v="1"/>
    <x v="4"/>
    <s v="Alexandria"/>
    <d v="2023-09-01T00:00:00"/>
    <n v="2.4472222222222224"/>
    <n v="4500"/>
    <x v="3"/>
    <x v="1"/>
  </r>
  <r>
    <n v="51446"/>
    <s v="Emp 448"/>
    <s v="29404191369584"/>
    <x v="5"/>
    <x v="1"/>
    <d v="1994-04-19T00:00:00"/>
    <n v="31.81388888888889"/>
    <x v="0"/>
    <x v="1"/>
    <x v="0"/>
    <s v="Sharqia"/>
    <d v="2023-09-02T00:00:00"/>
    <n v="2.4444444444444446"/>
    <n v="5233"/>
    <x v="3"/>
    <x v="1"/>
  </r>
  <r>
    <n v="56829"/>
    <s v="Emp 449"/>
    <s v="29802010272754"/>
    <x v="9"/>
    <x v="0"/>
    <d v="1998-02-01T00:00:00"/>
    <n v="28.030555555555555"/>
    <x v="1"/>
    <x v="1"/>
    <x v="3"/>
    <s v="Alexandria"/>
    <d v="2023-09-03T00:00:00"/>
    <n v="2.4416666666666669"/>
    <n v="3305"/>
    <x v="3"/>
    <x v="1"/>
  </r>
  <r>
    <n v="58664"/>
    <s v="Emp 450"/>
    <s v="29010082171863"/>
    <x v="8"/>
    <x v="1"/>
    <d v="1990-10-08T00:00:00"/>
    <n v="35.344444444444441"/>
    <x v="0"/>
    <x v="2"/>
    <x v="1"/>
    <s v="Giza"/>
    <d v="2023-09-04T00:00:00"/>
    <n v="2.4388888888888891"/>
    <n v="11929"/>
    <x v="3"/>
    <x v="0"/>
  </r>
  <r>
    <n v="55946"/>
    <s v="Emp 451"/>
    <s v="29501051973758"/>
    <x v="3"/>
    <x v="0"/>
    <d v="1995-01-05T00:00:00"/>
    <n v="31.102777777777778"/>
    <x v="1"/>
    <x v="1"/>
    <x v="1"/>
    <s v="Ismailia"/>
    <d v="2023-09-05T00:00:00"/>
    <n v="2.4361111111111109"/>
    <n v="6326"/>
    <x v="3"/>
    <x v="0"/>
  </r>
  <r>
    <n v="52535"/>
    <s v="Emp 452"/>
    <s v="30106281753213"/>
    <x v="2"/>
    <x v="0"/>
    <d v="2001-06-28T00:00:00"/>
    <n v="24.622222222222224"/>
    <x v="0"/>
    <x v="1"/>
    <x v="4"/>
    <s v="Monufia"/>
    <d v="2023-09-06T00:00:00"/>
    <n v="2.4333333333333331"/>
    <n v="4537"/>
    <x v="3"/>
    <x v="1"/>
  </r>
  <r>
    <n v="56255"/>
    <s v="Emp 453"/>
    <s v="28703100289056"/>
    <x v="8"/>
    <x v="0"/>
    <d v="1987-03-10T00:00:00"/>
    <n v="38.922222222222224"/>
    <x v="1"/>
    <x v="1"/>
    <x v="1"/>
    <s v="Alexandria"/>
    <d v="2023-09-07T00:00:00"/>
    <n v="2.4305555555555554"/>
    <n v="5744"/>
    <x v="3"/>
    <x v="1"/>
  </r>
  <r>
    <n v="52786"/>
    <s v="Emp 454"/>
    <s v="28904042164994"/>
    <x v="2"/>
    <x v="0"/>
    <d v="1989-04-04T00:00:00"/>
    <n v="36.855555555555554"/>
    <x v="0"/>
    <x v="1"/>
    <x v="2"/>
    <s v="Giza"/>
    <d v="2023-09-08T00:00:00"/>
    <n v="2.4277777777777776"/>
    <n v="4307"/>
    <x v="3"/>
    <x v="1"/>
  </r>
  <r>
    <n v="58259"/>
    <s v="Emp 455"/>
    <s v="29105181787532"/>
    <x v="1"/>
    <x v="0"/>
    <d v="1991-05-18T00:00:00"/>
    <n v="34.733333333333334"/>
    <x v="1"/>
    <x v="0"/>
    <x v="4"/>
    <s v="Monufia"/>
    <d v="2023-09-09T00:00:00"/>
    <n v="2.4249999999999998"/>
    <n v="22842"/>
    <x v="3"/>
    <x v="0"/>
  </r>
  <r>
    <n v="54705"/>
    <s v="Emp 456"/>
    <s v="28406020151568"/>
    <x v="8"/>
    <x v="1"/>
    <d v="1984-06-02T00:00:00"/>
    <n v="41.694444444444443"/>
    <x v="1"/>
    <x v="1"/>
    <x v="2"/>
    <s v="Cairo"/>
    <d v="2023-09-10T00:00:00"/>
    <n v="2.4222222222222221"/>
    <n v="5656"/>
    <x v="3"/>
    <x v="1"/>
  </r>
  <r>
    <n v="51200"/>
    <s v="Emp 457"/>
    <s v="29111202182385"/>
    <x v="2"/>
    <x v="1"/>
    <d v="1991-11-20T00:00:00"/>
    <n v="34.227777777777774"/>
    <x v="0"/>
    <x v="2"/>
    <x v="4"/>
    <s v="Giza"/>
    <d v="2023-09-11T00:00:00"/>
    <n v="2.4194444444444443"/>
    <n v="13121"/>
    <x v="3"/>
    <x v="0"/>
  </r>
  <r>
    <n v="54702"/>
    <s v="Emp 458"/>
    <s v="29103122157382"/>
    <x v="5"/>
    <x v="1"/>
    <d v="1991-03-12T00:00:00"/>
    <n v="34.916666666666664"/>
    <x v="0"/>
    <x v="1"/>
    <x v="3"/>
    <s v="Giza"/>
    <d v="2023-09-12T00:00:00"/>
    <n v="2.4166666666666665"/>
    <n v="6894"/>
    <x v="3"/>
    <x v="0"/>
  </r>
  <r>
    <n v="56184"/>
    <s v="Emp 459"/>
    <s v="28201151988264"/>
    <x v="0"/>
    <x v="1"/>
    <d v="1982-01-15T00:00:00"/>
    <n v="44.075000000000003"/>
    <x v="1"/>
    <x v="1"/>
    <x v="2"/>
    <s v="Ismailia"/>
    <d v="2023-09-13T00:00:00"/>
    <n v="2.4138888888888888"/>
    <n v="3074"/>
    <x v="3"/>
    <x v="1"/>
  </r>
  <r>
    <n v="58164"/>
    <s v="Emp 460"/>
    <s v="28703130169646"/>
    <x v="9"/>
    <x v="1"/>
    <d v="1987-03-13T00:00:00"/>
    <n v="38.913888888888891"/>
    <x v="0"/>
    <x v="1"/>
    <x v="3"/>
    <s v="Cairo"/>
    <d v="2023-09-14T00:00:00"/>
    <n v="2.411111111111111"/>
    <n v="3139"/>
    <x v="3"/>
    <x v="1"/>
  </r>
  <r>
    <n v="50397"/>
    <s v="Emp 461"/>
    <s v="28901151991494"/>
    <x v="0"/>
    <x v="0"/>
    <d v="1989-01-15T00:00:00"/>
    <n v="37.075000000000003"/>
    <x v="1"/>
    <x v="1"/>
    <x v="2"/>
    <s v="Ismailia"/>
    <d v="2023-09-15T00:00:00"/>
    <n v="2.4083333333333332"/>
    <n v="4319"/>
    <x v="3"/>
    <x v="1"/>
  </r>
  <r>
    <n v="54295"/>
    <s v="Emp 462"/>
    <s v="29811090286782"/>
    <x v="5"/>
    <x v="1"/>
    <d v="1998-11-09T00:00:00"/>
    <n v="27.258333333333333"/>
    <x v="0"/>
    <x v="1"/>
    <x v="4"/>
    <s v="Alexandria"/>
    <d v="2023-09-16T00:00:00"/>
    <n v="2.4055555555555554"/>
    <n v="4020"/>
    <x v="3"/>
    <x v="1"/>
  </r>
  <r>
    <n v="50723"/>
    <s v="Emp 463"/>
    <s v="28904031375916"/>
    <x v="7"/>
    <x v="0"/>
    <d v="1989-04-03T00:00:00"/>
    <n v="36.858333333333334"/>
    <x v="0"/>
    <x v="1"/>
    <x v="4"/>
    <s v="Sharqia"/>
    <d v="2023-09-17T00:00:00"/>
    <n v="2.4027777777777777"/>
    <n v="6857"/>
    <x v="3"/>
    <x v="0"/>
  </r>
  <r>
    <n v="52517"/>
    <s v="Emp 464"/>
    <s v="30203070285335"/>
    <x v="0"/>
    <x v="0"/>
    <d v="2002-03-07T00:00:00"/>
    <n v="23.930555555555557"/>
    <x v="1"/>
    <x v="1"/>
    <x v="4"/>
    <s v="Alexandria"/>
    <d v="2023-09-18T00:00:00"/>
    <n v="2.4"/>
    <n v="4262"/>
    <x v="3"/>
    <x v="1"/>
  </r>
  <r>
    <n v="56899"/>
    <s v="Emp 465"/>
    <s v="28811010283052"/>
    <x v="8"/>
    <x v="0"/>
    <d v="1988-11-01T00:00:00"/>
    <n v="37.280555555555559"/>
    <x v="0"/>
    <x v="2"/>
    <x v="2"/>
    <s v="Alexandria"/>
    <d v="2023-09-19T00:00:00"/>
    <n v="2.3972222222222221"/>
    <n v="13451"/>
    <x v="3"/>
    <x v="0"/>
  </r>
  <r>
    <n v="54679"/>
    <s v="Emp 466"/>
    <s v="29007141953493"/>
    <x v="8"/>
    <x v="0"/>
    <d v="1990-07-14T00:00:00"/>
    <n v="35.577777777777776"/>
    <x v="0"/>
    <x v="0"/>
    <x v="3"/>
    <s v="Ismailia"/>
    <d v="2023-09-20T00:00:00"/>
    <n v="2.3944444444444444"/>
    <n v="22335"/>
    <x v="3"/>
    <x v="0"/>
  </r>
  <r>
    <n v="51301"/>
    <s v="Emp 467"/>
    <s v="28801091967832"/>
    <x v="3"/>
    <x v="0"/>
    <d v="1988-01-09T00:00:00"/>
    <n v="38.091666666666669"/>
    <x v="0"/>
    <x v="1"/>
    <x v="1"/>
    <s v="Ismailia"/>
    <d v="2023-09-21T00:00:00"/>
    <n v="2.3916666666666666"/>
    <n v="3133"/>
    <x v="3"/>
    <x v="1"/>
  </r>
  <r>
    <n v="51069"/>
    <s v="Emp 468"/>
    <s v="29308020276217"/>
    <x v="9"/>
    <x v="0"/>
    <d v="1993-08-02T00:00:00"/>
    <n v="32.527777777777779"/>
    <x v="1"/>
    <x v="1"/>
    <x v="3"/>
    <s v="Alexandria"/>
    <d v="2023-09-22T00:00:00"/>
    <n v="2.3888888888888888"/>
    <n v="5884"/>
    <x v="3"/>
    <x v="1"/>
  </r>
  <r>
    <n v="54671"/>
    <s v="Emp 469"/>
    <s v="28612170191264"/>
    <x v="6"/>
    <x v="1"/>
    <d v="1986-12-17T00:00:00"/>
    <n v="39.152777777777779"/>
    <x v="1"/>
    <x v="0"/>
    <x v="2"/>
    <s v="Cairo"/>
    <d v="2023-09-23T00:00:00"/>
    <n v="2.3861111111111111"/>
    <n v="27871"/>
    <x v="3"/>
    <x v="0"/>
  </r>
  <r>
    <n v="51724"/>
    <s v="Emp 470"/>
    <s v="28210112170556"/>
    <x v="8"/>
    <x v="0"/>
    <d v="1982-10-11T00:00:00"/>
    <n v="43.336111111111109"/>
    <x v="0"/>
    <x v="1"/>
    <x v="4"/>
    <s v="Giza"/>
    <d v="2023-09-24T00:00:00"/>
    <n v="2.3833333333333333"/>
    <n v="6115"/>
    <x v="3"/>
    <x v="0"/>
  </r>
  <r>
    <n v="59766"/>
    <s v="Emp 471"/>
    <s v="28403081757285"/>
    <x v="7"/>
    <x v="1"/>
    <d v="1984-03-08T00:00:00"/>
    <n v="41.927777777777777"/>
    <x v="0"/>
    <x v="1"/>
    <x v="2"/>
    <s v="Monufia"/>
    <d v="2023-09-25T00:00:00"/>
    <n v="2.3805555555555555"/>
    <n v="3067"/>
    <x v="3"/>
    <x v="1"/>
  </r>
  <r>
    <n v="55151"/>
    <s v="Emp 472"/>
    <s v="29912122165134"/>
    <x v="9"/>
    <x v="0"/>
    <d v="1999-12-12T00:00:00"/>
    <n v="26.166666666666668"/>
    <x v="0"/>
    <x v="2"/>
    <x v="0"/>
    <s v="Giza"/>
    <d v="2023-09-26T00:00:00"/>
    <n v="2.3777777777777778"/>
    <n v="13327"/>
    <x v="3"/>
    <x v="0"/>
  </r>
  <r>
    <n v="52834"/>
    <s v="Emp 473"/>
    <s v="30108260288595"/>
    <x v="1"/>
    <x v="0"/>
    <d v="2001-08-26T00:00:00"/>
    <n v="24.461111111111112"/>
    <x v="0"/>
    <x v="0"/>
    <x v="1"/>
    <s v="Alexandria"/>
    <d v="2023-09-27T00:00:00"/>
    <n v="2.375"/>
    <n v="26768"/>
    <x v="3"/>
    <x v="0"/>
  </r>
  <r>
    <n v="51915"/>
    <s v="Emp 474"/>
    <s v="28803102184566"/>
    <x v="9"/>
    <x v="1"/>
    <d v="1988-03-10T00:00:00"/>
    <n v="37.922222222222224"/>
    <x v="1"/>
    <x v="1"/>
    <x v="0"/>
    <s v="Giza"/>
    <d v="2023-09-28T00:00:00"/>
    <n v="2.3722222222222222"/>
    <n v="3735"/>
    <x v="3"/>
    <x v="1"/>
  </r>
  <r>
    <n v="50295"/>
    <s v="Emp 475"/>
    <s v="29409192170066"/>
    <x v="6"/>
    <x v="1"/>
    <d v="1994-09-19T00:00:00"/>
    <n v="31.397222222222222"/>
    <x v="0"/>
    <x v="2"/>
    <x v="1"/>
    <s v="Giza"/>
    <d v="2023-09-29T00:00:00"/>
    <n v="2.3694444444444445"/>
    <n v="12039"/>
    <x v="3"/>
    <x v="0"/>
  </r>
  <r>
    <n v="50128"/>
    <s v="Emp 476"/>
    <s v="29907251986177"/>
    <x v="4"/>
    <x v="0"/>
    <d v="1999-07-25T00:00:00"/>
    <n v="26.547222222222221"/>
    <x v="1"/>
    <x v="1"/>
    <x v="2"/>
    <s v="Ismailia"/>
    <d v="2023-09-30T00:00:00"/>
    <n v="2.3666666666666667"/>
    <n v="4555"/>
    <x v="3"/>
    <x v="1"/>
  </r>
  <r>
    <n v="57195"/>
    <s v="Emp 477"/>
    <s v="28708101379629"/>
    <x v="3"/>
    <x v="1"/>
    <d v="1987-08-10T00:00:00"/>
    <n v="38.505555555555553"/>
    <x v="1"/>
    <x v="1"/>
    <x v="3"/>
    <s v="Sharqia"/>
    <d v="2023-10-01T00:00:00"/>
    <n v="2.3638888888888889"/>
    <n v="4225"/>
    <x v="4"/>
    <x v="1"/>
  </r>
  <r>
    <n v="54448"/>
    <s v="Emp 478"/>
    <s v="30209111979192"/>
    <x v="9"/>
    <x v="0"/>
    <d v="2002-09-11T00:00:00"/>
    <n v="23.419444444444444"/>
    <x v="0"/>
    <x v="0"/>
    <x v="3"/>
    <s v="Ismailia"/>
    <d v="2023-10-02T00:00:00"/>
    <n v="2.3611111111111112"/>
    <n v="28064"/>
    <x v="4"/>
    <x v="0"/>
  </r>
  <r>
    <n v="53840"/>
    <s v="Emp 479"/>
    <s v="29601131368612"/>
    <x v="5"/>
    <x v="0"/>
    <d v="1996-01-13T00:00:00"/>
    <n v="30.080555555555556"/>
    <x v="0"/>
    <x v="1"/>
    <x v="3"/>
    <s v="Sharqia"/>
    <d v="2023-10-03T00:00:00"/>
    <n v="2.3583333333333334"/>
    <n v="6586"/>
    <x v="4"/>
    <x v="0"/>
  </r>
  <r>
    <n v="56278"/>
    <s v="Emp 480"/>
    <s v="29110070157998"/>
    <x v="4"/>
    <x v="0"/>
    <d v="1991-10-07T00:00:00"/>
    <n v="34.347222222222221"/>
    <x v="0"/>
    <x v="1"/>
    <x v="1"/>
    <s v="Cairo"/>
    <d v="2023-10-04T00:00:00"/>
    <n v="2.3555555555555556"/>
    <n v="3204"/>
    <x v="4"/>
    <x v="1"/>
  </r>
  <r>
    <n v="55421"/>
    <s v="Emp 481"/>
    <s v="29203070261343"/>
    <x v="7"/>
    <x v="1"/>
    <d v="1992-03-07T00:00:00"/>
    <n v="33.930555555555557"/>
    <x v="0"/>
    <x v="1"/>
    <x v="1"/>
    <s v="Alexandria"/>
    <d v="2023-10-05T00:00:00"/>
    <n v="2.3527777777777779"/>
    <n v="5382"/>
    <x v="4"/>
    <x v="1"/>
  </r>
  <r>
    <n v="57212"/>
    <s v="Emp 482"/>
    <s v="28902200274738"/>
    <x v="9"/>
    <x v="0"/>
    <d v="1989-02-20T00:00:00"/>
    <n v="36.977777777777774"/>
    <x v="0"/>
    <x v="1"/>
    <x v="0"/>
    <s v="Alexandria"/>
    <d v="2023-10-06T00:00:00"/>
    <n v="2.35"/>
    <n v="4548"/>
    <x v="4"/>
    <x v="1"/>
  </r>
  <r>
    <n v="59483"/>
    <s v="Emp 483"/>
    <s v="28312161388341"/>
    <x v="3"/>
    <x v="1"/>
    <d v="1983-12-16T00:00:00"/>
    <n v="42.155555555555559"/>
    <x v="1"/>
    <x v="1"/>
    <x v="4"/>
    <s v="Sharqia"/>
    <d v="2023-10-07T00:00:00"/>
    <n v="2.3472222222222223"/>
    <n v="5978"/>
    <x v="4"/>
    <x v="0"/>
  </r>
  <r>
    <n v="56530"/>
    <s v="Emp 484"/>
    <s v="29712262186872"/>
    <x v="1"/>
    <x v="0"/>
    <d v="1997-12-26T00:00:00"/>
    <n v="28.127777777777776"/>
    <x v="0"/>
    <x v="1"/>
    <x v="3"/>
    <s v="Giza"/>
    <d v="2023-10-08T00:00:00"/>
    <n v="2.3444444444444446"/>
    <n v="6314"/>
    <x v="4"/>
    <x v="0"/>
  </r>
  <r>
    <n v="58125"/>
    <s v="Emp 485"/>
    <s v="30206090261575"/>
    <x v="6"/>
    <x v="0"/>
    <d v="2002-06-09T00:00:00"/>
    <n v="23.675000000000001"/>
    <x v="0"/>
    <x v="1"/>
    <x v="0"/>
    <s v="Alexandria"/>
    <d v="2023-10-09T00:00:00"/>
    <n v="2.3416666666666668"/>
    <n v="3713"/>
    <x v="4"/>
    <x v="1"/>
  </r>
  <r>
    <n v="52087"/>
    <s v="Emp 486"/>
    <s v="29403040180515"/>
    <x v="5"/>
    <x v="0"/>
    <d v="1994-03-04T00:00:00"/>
    <n v="31.93888888888889"/>
    <x v="1"/>
    <x v="1"/>
    <x v="1"/>
    <s v="Cairo"/>
    <d v="2023-10-10T00:00:00"/>
    <n v="2.338888888888889"/>
    <n v="6152"/>
    <x v="4"/>
    <x v="0"/>
  </r>
  <r>
    <n v="57638"/>
    <s v="Emp 487"/>
    <s v="30110040291222"/>
    <x v="9"/>
    <x v="1"/>
    <d v="2001-10-04T00:00:00"/>
    <n v="24.355555555555554"/>
    <x v="0"/>
    <x v="0"/>
    <x v="1"/>
    <s v="Alexandria"/>
    <d v="2023-10-11T00:00:00"/>
    <n v="2.3361111111111112"/>
    <n v="16318"/>
    <x v="4"/>
    <x v="0"/>
  </r>
  <r>
    <n v="58042"/>
    <s v="Emp 488"/>
    <s v="29702010252856"/>
    <x v="4"/>
    <x v="0"/>
    <d v="1997-02-01T00:00:00"/>
    <n v="29.030555555555555"/>
    <x v="0"/>
    <x v="1"/>
    <x v="0"/>
    <s v="Alexandria"/>
    <d v="2023-10-12T00:00:00"/>
    <n v="2.3333333333333335"/>
    <n v="6488"/>
    <x v="4"/>
    <x v="0"/>
  </r>
  <r>
    <n v="59242"/>
    <s v="Emp 489"/>
    <s v="28809120169635"/>
    <x v="3"/>
    <x v="0"/>
    <d v="1988-09-12T00:00:00"/>
    <n v="37.416666666666664"/>
    <x v="1"/>
    <x v="1"/>
    <x v="3"/>
    <s v="Cairo"/>
    <d v="2023-10-13T00:00:00"/>
    <n v="2.3305555555555557"/>
    <n v="5325"/>
    <x v="4"/>
    <x v="1"/>
  </r>
  <r>
    <n v="52126"/>
    <s v="Emp 490"/>
    <s v="28506211760523"/>
    <x v="8"/>
    <x v="1"/>
    <d v="1985-06-21T00:00:00"/>
    <n v="40.641666666666666"/>
    <x v="1"/>
    <x v="1"/>
    <x v="0"/>
    <s v="Monufia"/>
    <d v="2023-10-14T00:00:00"/>
    <n v="2.3277777777777779"/>
    <n v="6800"/>
    <x v="4"/>
    <x v="0"/>
  </r>
  <r>
    <n v="54330"/>
    <s v="Emp 491"/>
    <s v="28202120172591"/>
    <x v="5"/>
    <x v="0"/>
    <d v="1982-02-12T00:00:00"/>
    <n v="44"/>
    <x v="1"/>
    <x v="2"/>
    <x v="2"/>
    <s v="Cairo"/>
    <d v="2023-10-15T00:00:00"/>
    <n v="2.3250000000000002"/>
    <n v="13849"/>
    <x v="4"/>
    <x v="0"/>
  </r>
  <r>
    <n v="59080"/>
    <s v="Emp 492"/>
    <s v="29403122162319"/>
    <x v="0"/>
    <x v="0"/>
    <d v="1994-03-12T00:00:00"/>
    <n v="31.916666666666668"/>
    <x v="0"/>
    <x v="1"/>
    <x v="2"/>
    <s v="Giza"/>
    <d v="2023-10-16T00:00:00"/>
    <n v="2.3222222222222224"/>
    <n v="3472"/>
    <x v="4"/>
    <x v="1"/>
  </r>
  <r>
    <n v="53069"/>
    <s v="Emp 493"/>
    <s v="30105030276497"/>
    <x v="4"/>
    <x v="0"/>
    <d v="2001-05-03T00:00:00"/>
    <n v="24.774999999999999"/>
    <x v="0"/>
    <x v="0"/>
    <x v="1"/>
    <s v="Alexandria"/>
    <d v="2023-10-17T00:00:00"/>
    <n v="2.3194444444444446"/>
    <n v="29992"/>
    <x v="4"/>
    <x v="0"/>
  </r>
  <r>
    <n v="52191"/>
    <s v="Emp 494"/>
    <s v="28705132183783"/>
    <x v="5"/>
    <x v="1"/>
    <d v="1987-05-13T00:00:00"/>
    <n v="38.74722222222222"/>
    <x v="0"/>
    <x v="0"/>
    <x v="0"/>
    <s v="Giza"/>
    <d v="2023-10-18T00:00:00"/>
    <n v="2.3166666666666669"/>
    <n v="25325"/>
    <x v="4"/>
    <x v="0"/>
  </r>
  <r>
    <n v="56239"/>
    <s v="Emp 495"/>
    <s v="28304211961271"/>
    <x v="7"/>
    <x v="0"/>
    <d v="1983-04-21T00:00:00"/>
    <n v="42.80833333333333"/>
    <x v="1"/>
    <x v="1"/>
    <x v="4"/>
    <s v="Ismailia"/>
    <d v="2023-10-19T00:00:00"/>
    <n v="2.3138888888888891"/>
    <n v="4815"/>
    <x v="4"/>
    <x v="1"/>
  </r>
  <r>
    <n v="51311"/>
    <s v="Emp 496"/>
    <s v="28602082166511"/>
    <x v="0"/>
    <x v="0"/>
    <d v="1986-02-08T00:00:00"/>
    <n v="40.011111111111113"/>
    <x v="0"/>
    <x v="1"/>
    <x v="3"/>
    <s v="Giza"/>
    <d v="2023-10-20T00:00:00"/>
    <n v="2.3111111111111109"/>
    <n v="3912"/>
    <x v="4"/>
    <x v="1"/>
  </r>
  <r>
    <n v="56068"/>
    <s v="Emp 497"/>
    <s v="28210220290845"/>
    <x v="7"/>
    <x v="1"/>
    <d v="1982-10-22T00:00:00"/>
    <n v="43.305555555555557"/>
    <x v="1"/>
    <x v="1"/>
    <x v="4"/>
    <s v="Alexandria"/>
    <d v="2023-10-21T00:00:00"/>
    <n v="2.3083333333333331"/>
    <n v="6119"/>
    <x v="4"/>
    <x v="0"/>
  </r>
  <r>
    <n v="59370"/>
    <s v="Emp 498"/>
    <s v="28611042186448"/>
    <x v="7"/>
    <x v="1"/>
    <d v="1986-11-04T00:00:00"/>
    <n v="39.272222222222226"/>
    <x v="1"/>
    <x v="2"/>
    <x v="1"/>
    <s v="Giza"/>
    <d v="2023-10-22T00:00:00"/>
    <n v="2.3055555555555554"/>
    <n v="11784"/>
    <x v="4"/>
    <x v="0"/>
  </r>
  <r>
    <n v="58133"/>
    <s v="Emp 499"/>
    <s v="28806061765115"/>
    <x v="9"/>
    <x v="0"/>
    <d v="1988-06-06T00:00:00"/>
    <n v="37.68333333333333"/>
    <x v="0"/>
    <x v="2"/>
    <x v="4"/>
    <s v="Monufia"/>
    <d v="2023-10-23T00:00:00"/>
    <n v="2.3027777777777776"/>
    <n v="11626"/>
    <x v="4"/>
    <x v="0"/>
  </r>
  <r>
    <n v="59582"/>
    <s v="Emp 500"/>
    <s v="29607251989444"/>
    <x v="0"/>
    <x v="1"/>
    <d v="1996-07-25T00:00:00"/>
    <n v="29.547222222222221"/>
    <x v="0"/>
    <x v="0"/>
    <x v="4"/>
    <s v="Ismailia"/>
    <d v="2023-10-24T00:00:00"/>
    <n v="2.2999999999999998"/>
    <n v="22145"/>
    <x v="4"/>
    <x v="0"/>
  </r>
  <r>
    <n v="58472"/>
    <s v="Emp 501"/>
    <s v="28412061984349"/>
    <x v="3"/>
    <x v="1"/>
    <d v="1984-12-06T00:00:00"/>
    <n v="41.18333333333333"/>
    <x v="1"/>
    <x v="2"/>
    <x v="1"/>
    <s v="Ismailia"/>
    <d v="2023-10-25T00:00:00"/>
    <n v="2.2972222222222221"/>
    <n v="12634"/>
    <x v="4"/>
    <x v="0"/>
  </r>
  <r>
    <n v="57030"/>
    <s v="Emp 502"/>
    <s v="29404100174954"/>
    <x v="4"/>
    <x v="0"/>
    <d v="1994-04-10T00:00:00"/>
    <n v="31.838888888888889"/>
    <x v="1"/>
    <x v="1"/>
    <x v="2"/>
    <s v="Cairo"/>
    <d v="2023-10-26T00:00:00"/>
    <n v="2.2944444444444443"/>
    <n v="5638"/>
    <x v="4"/>
    <x v="1"/>
  </r>
  <r>
    <n v="57638"/>
    <s v="Emp 503"/>
    <s v="28703200181894"/>
    <x v="2"/>
    <x v="0"/>
    <d v="1987-03-20T00:00:00"/>
    <n v="38.894444444444446"/>
    <x v="0"/>
    <x v="2"/>
    <x v="4"/>
    <s v="Cairo"/>
    <d v="2023-10-27T00:00:00"/>
    <n v="2.2916666666666665"/>
    <n v="12435"/>
    <x v="4"/>
    <x v="0"/>
  </r>
  <r>
    <n v="51826"/>
    <s v="Emp 504"/>
    <s v="28703050253181"/>
    <x v="9"/>
    <x v="1"/>
    <d v="1987-03-05T00:00:00"/>
    <n v="38.93611111111111"/>
    <x v="0"/>
    <x v="1"/>
    <x v="4"/>
    <s v="Alexandria"/>
    <d v="2023-10-28T00:00:00"/>
    <n v="2.2888888888888888"/>
    <n v="4116"/>
    <x v="4"/>
    <x v="1"/>
  </r>
  <r>
    <n v="55122"/>
    <s v="Emp 505"/>
    <s v="28510230291475"/>
    <x v="6"/>
    <x v="0"/>
    <d v="1985-10-23T00:00:00"/>
    <n v="40.302777777777777"/>
    <x v="0"/>
    <x v="1"/>
    <x v="3"/>
    <s v="Alexandria"/>
    <d v="2023-10-29T00:00:00"/>
    <n v="2.286111111111111"/>
    <n v="5172"/>
    <x v="4"/>
    <x v="1"/>
  </r>
  <r>
    <n v="57276"/>
    <s v="Emp 506"/>
    <s v="29504251757846"/>
    <x v="2"/>
    <x v="1"/>
    <d v="1995-04-25T00:00:00"/>
    <n v="30.797222222222221"/>
    <x v="0"/>
    <x v="1"/>
    <x v="0"/>
    <s v="Monufia"/>
    <d v="2023-10-30T00:00:00"/>
    <n v="2.2833333333333332"/>
    <n v="5390"/>
    <x v="4"/>
    <x v="1"/>
  </r>
  <r>
    <n v="56295"/>
    <s v="Emp 507"/>
    <s v="28708220286555"/>
    <x v="5"/>
    <x v="0"/>
    <d v="1987-08-22T00:00:00"/>
    <n v="38.472222222222221"/>
    <x v="0"/>
    <x v="1"/>
    <x v="1"/>
    <s v="Alexandria"/>
    <d v="2023-10-31T00:00:00"/>
    <n v="2.2833333333333332"/>
    <n v="3212"/>
    <x v="4"/>
    <x v="1"/>
  </r>
  <r>
    <n v="51876"/>
    <s v="Emp 508"/>
    <s v="29709051376656"/>
    <x v="7"/>
    <x v="0"/>
    <d v="1997-09-05T00:00:00"/>
    <n v="28.43611111111111"/>
    <x v="0"/>
    <x v="1"/>
    <x v="3"/>
    <s v="Sharqia"/>
    <d v="2023-11-01T00:00:00"/>
    <n v="2.2805555555555554"/>
    <n v="3008"/>
    <x v="5"/>
    <x v="1"/>
  </r>
  <r>
    <n v="59137"/>
    <s v="Emp 509"/>
    <s v="29012071965461"/>
    <x v="6"/>
    <x v="1"/>
    <d v="1990-12-07T00:00:00"/>
    <n v="35.180555555555557"/>
    <x v="1"/>
    <x v="1"/>
    <x v="4"/>
    <s v="Ismailia"/>
    <d v="2023-11-02T00:00:00"/>
    <n v="2.2777777777777777"/>
    <n v="6771"/>
    <x v="5"/>
    <x v="0"/>
  </r>
  <r>
    <n v="51418"/>
    <s v="Emp 510"/>
    <s v="28207281389554"/>
    <x v="0"/>
    <x v="0"/>
    <d v="1982-07-28T00:00:00"/>
    <n v="43.538888888888891"/>
    <x v="0"/>
    <x v="1"/>
    <x v="4"/>
    <s v="Sharqia"/>
    <d v="2023-11-03T00:00:00"/>
    <n v="2.2749999999999999"/>
    <n v="6034"/>
    <x v="5"/>
    <x v="0"/>
  </r>
  <r>
    <n v="50122"/>
    <s v="Emp 511"/>
    <s v="28803121755127"/>
    <x v="3"/>
    <x v="1"/>
    <d v="1988-03-12T00:00:00"/>
    <n v="37.916666666666664"/>
    <x v="1"/>
    <x v="1"/>
    <x v="4"/>
    <s v="Monufia"/>
    <d v="2023-11-04T00:00:00"/>
    <n v="2.2722222222222221"/>
    <n v="3080"/>
    <x v="5"/>
    <x v="1"/>
  </r>
  <r>
    <n v="50947"/>
    <s v="Emp 512"/>
    <s v="28601061378857"/>
    <x v="1"/>
    <x v="0"/>
    <d v="1986-01-06T00:00:00"/>
    <n v="40.1"/>
    <x v="1"/>
    <x v="0"/>
    <x v="3"/>
    <s v="Sharqia"/>
    <d v="2023-11-05T00:00:00"/>
    <n v="2.2694444444444444"/>
    <n v="20140"/>
    <x v="5"/>
    <x v="0"/>
  </r>
  <r>
    <n v="56388"/>
    <s v="Emp 513"/>
    <s v="30305251967318"/>
    <x v="1"/>
    <x v="0"/>
    <d v="2003-05-25T00:00:00"/>
    <n v="22.713888888888889"/>
    <x v="0"/>
    <x v="1"/>
    <x v="4"/>
    <s v="Ismailia"/>
    <d v="2023-11-06T00:00:00"/>
    <n v="2.2666666666666666"/>
    <n v="3614"/>
    <x v="5"/>
    <x v="1"/>
  </r>
  <r>
    <n v="59959"/>
    <s v="Emp 514"/>
    <s v="30309230171747"/>
    <x v="8"/>
    <x v="1"/>
    <d v="2003-09-23T00:00:00"/>
    <n v="22.386111111111113"/>
    <x v="1"/>
    <x v="1"/>
    <x v="0"/>
    <s v="Cairo"/>
    <d v="2023-11-07T00:00:00"/>
    <n v="2.2638888888888888"/>
    <n v="6061"/>
    <x v="5"/>
    <x v="0"/>
  </r>
  <r>
    <n v="55855"/>
    <s v="Emp 515"/>
    <s v="28203200264968"/>
    <x v="2"/>
    <x v="1"/>
    <d v="1982-03-20T00:00:00"/>
    <n v="43.894444444444446"/>
    <x v="0"/>
    <x v="1"/>
    <x v="1"/>
    <s v="Alexandria"/>
    <d v="2023-11-08T00:00:00"/>
    <n v="2.2611111111111111"/>
    <n v="6138"/>
    <x v="5"/>
    <x v="0"/>
  </r>
  <r>
    <n v="51380"/>
    <s v="Emp 516"/>
    <s v="28510090183385"/>
    <x v="7"/>
    <x v="1"/>
    <d v="1985-10-09T00:00:00"/>
    <n v="40.341666666666669"/>
    <x v="1"/>
    <x v="1"/>
    <x v="0"/>
    <s v="Cairo"/>
    <d v="2023-11-09T00:00:00"/>
    <n v="2.2583333333333333"/>
    <n v="6805"/>
    <x v="5"/>
    <x v="0"/>
  </r>
  <r>
    <n v="58582"/>
    <s v="Emp 517"/>
    <s v="28407261974167"/>
    <x v="0"/>
    <x v="1"/>
    <d v="1984-07-26T00:00:00"/>
    <n v="41.544444444444444"/>
    <x v="1"/>
    <x v="2"/>
    <x v="1"/>
    <s v="Ismailia"/>
    <d v="2023-11-10T00:00:00"/>
    <n v="2.2555555555555555"/>
    <n v="12118"/>
    <x v="5"/>
    <x v="0"/>
  </r>
  <r>
    <n v="56920"/>
    <s v="Emp 518"/>
    <s v="30310191381619"/>
    <x v="1"/>
    <x v="0"/>
    <d v="2003-10-19T00:00:00"/>
    <n v="22.31388888888889"/>
    <x v="1"/>
    <x v="1"/>
    <x v="3"/>
    <s v="Sharqia"/>
    <d v="2023-11-11T00:00:00"/>
    <n v="2.2527777777777778"/>
    <n v="4994"/>
    <x v="5"/>
    <x v="1"/>
  </r>
  <r>
    <n v="57334"/>
    <s v="Emp 519"/>
    <s v="29610170151972"/>
    <x v="8"/>
    <x v="0"/>
    <d v="1996-10-17T00:00:00"/>
    <n v="29.319444444444443"/>
    <x v="1"/>
    <x v="0"/>
    <x v="4"/>
    <s v="Cairo"/>
    <d v="2023-11-12T00:00:00"/>
    <n v="2.25"/>
    <n v="27240"/>
    <x v="5"/>
    <x v="0"/>
  </r>
  <r>
    <n v="58425"/>
    <s v="Emp 520"/>
    <s v="29907210283964"/>
    <x v="9"/>
    <x v="1"/>
    <d v="1999-07-21T00:00:00"/>
    <n v="26.558333333333334"/>
    <x v="0"/>
    <x v="1"/>
    <x v="4"/>
    <s v="Alexandria"/>
    <d v="2023-11-13T00:00:00"/>
    <n v="2.2472222222222222"/>
    <n v="4138"/>
    <x v="5"/>
    <x v="1"/>
  </r>
  <r>
    <n v="52428"/>
    <s v="Emp 521"/>
    <s v="29810070176895"/>
    <x v="1"/>
    <x v="0"/>
    <d v="1998-10-07T00:00:00"/>
    <n v="27.347222222222221"/>
    <x v="1"/>
    <x v="2"/>
    <x v="0"/>
    <s v="Cairo"/>
    <d v="2023-11-14T00:00:00"/>
    <n v="2.2444444444444445"/>
    <n v="11719"/>
    <x v="5"/>
    <x v="0"/>
  </r>
  <r>
    <n v="55114"/>
    <s v="Emp 522"/>
    <s v="28808111773212"/>
    <x v="2"/>
    <x v="0"/>
    <d v="1988-08-11T00:00:00"/>
    <n v="37.50277777777778"/>
    <x v="1"/>
    <x v="1"/>
    <x v="4"/>
    <s v="Monufia"/>
    <d v="2023-11-15T00:00:00"/>
    <n v="2.2416666666666667"/>
    <n v="3099"/>
    <x v="5"/>
    <x v="1"/>
  </r>
  <r>
    <n v="57731"/>
    <s v="Emp 523"/>
    <s v="30009092184148"/>
    <x v="9"/>
    <x v="1"/>
    <d v="2000-09-09T00:00:00"/>
    <n v="25.425000000000001"/>
    <x v="0"/>
    <x v="1"/>
    <x v="2"/>
    <s v="Giza"/>
    <d v="2023-11-16T00:00:00"/>
    <n v="2.2388888888888889"/>
    <n v="5943"/>
    <x v="5"/>
    <x v="1"/>
  </r>
  <r>
    <n v="57402"/>
    <s v="Emp 524"/>
    <s v="30108131378483"/>
    <x v="5"/>
    <x v="1"/>
    <d v="2001-08-13T00:00:00"/>
    <n v="24.497222222222224"/>
    <x v="0"/>
    <x v="1"/>
    <x v="3"/>
    <s v="Sharqia"/>
    <d v="2023-11-17T00:00:00"/>
    <n v="2.2361111111111112"/>
    <n v="3610"/>
    <x v="5"/>
    <x v="1"/>
  </r>
  <r>
    <n v="59096"/>
    <s v="Emp 525"/>
    <s v="29511021372258"/>
    <x v="5"/>
    <x v="0"/>
    <d v="1995-11-02T00:00:00"/>
    <n v="30.277777777777779"/>
    <x v="1"/>
    <x v="1"/>
    <x v="3"/>
    <s v="Sharqia"/>
    <d v="2023-11-18T00:00:00"/>
    <n v="2.2333333333333334"/>
    <n v="5245"/>
    <x v="5"/>
    <x v="1"/>
  </r>
  <r>
    <n v="57460"/>
    <s v="Emp 526"/>
    <s v="30010161984392"/>
    <x v="9"/>
    <x v="0"/>
    <d v="2000-10-16T00:00:00"/>
    <n v="25.322222222222223"/>
    <x v="0"/>
    <x v="1"/>
    <x v="3"/>
    <s v="Ismailia"/>
    <d v="2023-11-19T00:00:00"/>
    <n v="2.2305555555555556"/>
    <n v="4178"/>
    <x v="5"/>
    <x v="1"/>
  </r>
  <r>
    <n v="56154"/>
    <s v="Emp 527"/>
    <s v="29902261953849"/>
    <x v="4"/>
    <x v="1"/>
    <d v="1999-02-26T00:00:00"/>
    <n v="26.961111111111112"/>
    <x v="0"/>
    <x v="1"/>
    <x v="3"/>
    <s v="Ismailia"/>
    <d v="2023-11-20T00:00:00"/>
    <n v="2.2277777777777779"/>
    <n v="5366"/>
    <x v="5"/>
    <x v="1"/>
  </r>
  <r>
    <n v="54890"/>
    <s v="Emp 528"/>
    <s v="30106082155245"/>
    <x v="0"/>
    <x v="1"/>
    <d v="2001-06-08T00:00:00"/>
    <n v="24.677777777777777"/>
    <x v="0"/>
    <x v="0"/>
    <x v="2"/>
    <s v="Giza"/>
    <d v="2023-11-21T00:00:00"/>
    <n v="2.2250000000000001"/>
    <n v="17637"/>
    <x v="5"/>
    <x v="0"/>
  </r>
  <r>
    <n v="50193"/>
    <s v="Emp 529"/>
    <s v="29911260179187"/>
    <x v="4"/>
    <x v="1"/>
    <d v="1999-11-26T00:00:00"/>
    <n v="26.211111111111112"/>
    <x v="0"/>
    <x v="1"/>
    <x v="0"/>
    <s v="Cairo"/>
    <d v="2023-11-22T00:00:00"/>
    <n v="2.2222222222222223"/>
    <n v="3145"/>
    <x v="5"/>
    <x v="1"/>
  </r>
  <r>
    <n v="51944"/>
    <s v="Emp 530"/>
    <s v="28409151373285"/>
    <x v="6"/>
    <x v="1"/>
    <d v="1984-09-15T00:00:00"/>
    <n v="41.408333333333331"/>
    <x v="0"/>
    <x v="1"/>
    <x v="3"/>
    <s v="Sharqia"/>
    <d v="2023-11-23T00:00:00"/>
    <n v="2.2194444444444446"/>
    <n v="6499"/>
    <x v="5"/>
    <x v="0"/>
  </r>
  <r>
    <n v="50892"/>
    <s v="Emp 531"/>
    <s v="28312270170492"/>
    <x v="5"/>
    <x v="0"/>
    <d v="1983-12-27T00:00:00"/>
    <n v="42.125"/>
    <x v="0"/>
    <x v="1"/>
    <x v="3"/>
    <s v="Cairo"/>
    <d v="2023-11-24T00:00:00"/>
    <n v="2.2166666666666668"/>
    <n v="6260"/>
    <x v="5"/>
    <x v="0"/>
  </r>
  <r>
    <n v="55006"/>
    <s v="Emp 532"/>
    <s v="29009090165762"/>
    <x v="4"/>
    <x v="1"/>
    <d v="1990-09-09T00:00:00"/>
    <n v="35.424999999999997"/>
    <x v="1"/>
    <x v="1"/>
    <x v="4"/>
    <s v="Cairo"/>
    <d v="2023-11-25T00:00:00"/>
    <n v="2.213888888888889"/>
    <n v="4130"/>
    <x v="5"/>
    <x v="1"/>
  </r>
  <r>
    <n v="55218"/>
    <s v="Emp 533"/>
    <s v="29609242181473"/>
    <x v="5"/>
    <x v="0"/>
    <d v="1996-09-24T00:00:00"/>
    <n v="29.383333333333333"/>
    <x v="0"/>
    <x v="1"/>
    <x v="4"/>
    <s v="Giza"/>
    <d v="2023-11-26T00:00:00"/>
    <n v="2.2111111111111112"/>
    <n v="5589"/>
    <x v="5"/>
    <x v="1"/>
  </r>
  <r>
    <n v="50927"/>
    <s v="Emp 534"/>
    <s v="30310091374356"/>
    <x v="5"/>
    <x v="0"/>
    <d v="2003-10-09T00:00:00"/>
    <n v="22.341666666666665"/>
    <x v="1"/>
    <x v="1"/>
    <x v="4"/>
    <s v="Sharqia"/>
    <d v="2023-11-27T00:00:00"/>
    <n v="2.2083333333333335"/>
    <n v="5479"/>
    <x v="5"/>
    <x v="1"/>
  </r>
  <r>
    <n v="52478"/>
    <s v="Emp 535"/>
    <s v="28605181357572"/>
    <x v="2"/>
    <x v="0"/>
    <d v="1986-05-18T00:00:00"/>
    <n v="39.733333333333334"/>
    <x v="1"/>
    <x v="1"/>
    <x v="3"/>
    <s v="Sharqia"/>
    <d v="2023-11-28T00:00:00"/>
    <n v="2.2055555555555557"/>
    <n v="5716"/>
    <x v="5"/>
    <x v="1"/>
  </r>
  <r>
    <n v="51691"/>
    <s v="Emp 536"/>
    <s v="29509050253858"/>
    <x v="6"/>
    <x v="0"/>
    <d v="1995-09-05T00:00:00"/>
    <n v="30.43611111111111"/>
    <x v="1"/>
    <x v="1"/>
    <x v="0"/>
    <s v="Alexandria"/>
    <d v="2023-11-29T00:00:00"/>
    <n v="2.2027777777777779"/>
    <n v="5608"/>
    <x v="5"/>
    <x v="1"/>
  </r>
  <r>
    <n v="50337"/>
    <s v="Emp 537"/>
    <s v="29705250153833"/>
    <x v="3"/>
    <x v="0"/>
    <d v="1997-05-25T00:00:00"/>
    <n v="28.713888888888889"/>
    <x v="0"/>
    <x v="1"/>
    <x v="1"/>
    <s v="Cairo"/>
    <d v="2023-11-30T00:00:00"/>
    <n v="2.2000000000000002"/>
    <n v="3749"/>
    <x v="5"/>
    <x v="1"/>
  </r>
  <r>
    <n v="59896"/>
    <s v="Emp 538"/>
    <s v="29502070157527"/>
    <x v="3"/>
    <x v="1"/>
    <d v="1995-02-07T00:00:00"/>
    <n v="31.013888888888889"/>
    <x v="1"/>
    <x v="1"/>
    <x v="4"/>
    <s v="Cairo"/>
    <d v="2023-12-01T00:00:00"/>
    <n v="2.1972222222222224"/>
    <n v="6160"/>
    <x v="6"/>
    <x v="0"/>
  </r>
  <r>
    <n v="52643"/>
    <s v="Emp 539"/>
    <s v="29004260190713"/>
    <x v="4"/>
    <x v="0"/>
    <d v="1990-04-26T00:00:00"/>
    <n v="35.794444444444444"/>
    <x v="0"/>
    <x v="1"/>
    <x v="2"/>
    <s v="Cairo"/>
    <d v="2023-12-02T00:00:00"/>
    <n v="2.1944444444444446"/>
    <n v="4918"/>
    <x v="6"/>
    <x v="1"/>
  </r>
  <r>
    <n v="50294"/>
    <s v="Emp 540"/>
    <s v="29405012175647"/>
    <x v="5"/>
    <x v="1"/>
    <d v="1994-05-01T00:00:00"/>
    <n v="31.780555555555555"/>
    <x v="0"/>
    <x v="1"/>
    <x v="0"/>
    <s v="Giza"/>
    <d v="2023-12-03T00:00:00"/>
    <n v="2.1916666666666669"/>
    <n v="5782"/>
    <x v="6"/>
    <x v="1"/>
  </r>
  <r>
    <n v="50100"/>
    <s v="Emp 541"/>
    <s v="29208161967296"/>
    <x v="6"/>
    <x v="0"/>
    <d v="1992-08-16T00:00:00"/>
    <n v="33.488888888888887"/>
    <x v="1"/>
    <x v="0"/>
    <x v="4"/>
    <s v="Ismailia"/>
    <d v="2023-12-04T00:00:00"/>
    <n v="2.1888888888888891"/>
    <n v="24778"/>
    <x v="6"/>
    <x v="0"/>
  </r>
  <r>
    <n v="52852"/>
    <s v="Emp 542"/>
    <s v="28703011762078"/>
    <x v="3"/>
    <x v="0"/>
    <d v="1987-03-01T00:00:00"/>
    <n v="38.947222222222223"/>
    <x v="1"/>
    <x v="1"/>
    <x v="2"/>
    <s v="Monufia"/>
    <d v="2023-12-05T00:00:00"/>
    <n v="2.1861111111111109"/>
    <n v="4749"/>
    <x v="6"/>
    <x v="1"/>
  </r>
  <r>
    <n v="53817"/>
    <s v="Emp 543"/>
    <s v="30003120256492"/>
    <x v="9"/>
    <x v="0"/>
    <d v="2000-03-12T00:00:00"/>
    <n v="25.916666666666668"/>
    <x v="0"/>
    <x v="1"/>
    <x v="3"/>
    <s v="Alexandria"/>
    <d v="2023-12-06T00:00:00"/>
    <n v="2.1833333333333331"/>
    <n v="3649"/>
    <x v="6"/>
    <x v="1"/>
  </r>
  <r>
    <n v="55748"/>
    <s v="Emp 544"/>
    <s v="30203190158357"/>
    <x v="4"/>
    <x v="0"/>
    <d v="2002-03-19T00:00:00"/>
    <n v="23.897222222222222"/>
    <x v="1"/>
    <x v="1"/>
    <x v="3"/>
    <s v="Cairo"/>
    <d v="2023-12-07T00:00:00"/>
    <n v="2.1805555555555554"/>
    <n v="6247"/>
    <x v="6"/>
    <x v="0"/>
  </r>
  <r>
    <n v="58593"/>
    <s v="Emp 545"/>
    <s v="29106270179993"/>
    <x v="0"/>
    <x v="0"/>
    <d v="1991-06-27T00:00:00"/>
    <n v="34.625"/>
    <x v="1"/>
    <x v="1"/>
    <x v="0"/>
    <s v="Cairo"/>
    <d v="2023-12-08T00:00:00"/>
    <n v="2.1777777777777776"/>
    <n v="4574"/>
    <x v="6"/>
    <x v="1"/>
  </r>
  <r>
    <n v="52626"/>
    <s v="Emp 546"/>
    <s v="29701220291189"/>
    <x v="4"/>
    <x v="1"/>
    <d v="1997-01-22T00:00:00"/>
    <n v="29.055555555555557"/>
    <x v="0"/>
    <x v="0"/>
    <x v="0"/>
    <s v="Alexandria"/>
    <d v="2023-12-09T00:00:00"/>
    <n v="2.1749999999999998"/>
    <n v="21686"/>
    <x v="6"/>
    <x v="0"/>
  </r>
  <r>
    <n v="59130"/>
    <s v="Emp 547"/>
    <s v="30303020270326"/>
    <x v="5"/>
    <x v="1"/>
    <d v="2003-03-02T00:00:00"/>
    <n v="22.944444444444443"/>
    <x v="0"/>
    <x v="2"/>
    <x v="4"/>
    <s v="Alexandria"/>
    <d v="2023-12-10T00:00:00"/>
    <n v="2.1722222222222221"/>
    <n v="11001"/>
    <x v="6"/>
    <x v="0"/>
  </r>
  <r>
    <n v="52615"/>
    <s v="Emp 548"/>
    <s v="29804180265533"/>
    <x v="3"/>
    <x v="0"/>
    <d v="1998-04-18T00:00:00"/>
    <n v="27.816666666666666"/>
    <x v="0"/>
    <x v="1"/>
    <x v="3"/>
    <s v="Alexandria"/>
    <d v="2023-12-11T00:00:00"/>
    <n v="2.1694444444444443"/>
    <n v="4413"/>
    <x v="6"/>
    <x v="1"/>
  </r>
  <r>
    <n v="51066"/>
    <s v="Emp 549"/>
    <s v="29912171367692"/>
    <x v="7"/>
    <x v="0"/>
    <d v="1999-12-17T00:00:00"/>
    <n v="26.152777777777779"/>
    <x v="1"/>
    <x v="1"/>
    <x v="3"/>
    <s v="Sharqia"/>
    <d v="2023-12-12T00:00:00"/>
    <n v="2.1666666666666665"/>
    <n v="5842"/>
    <x v="6"/>
    <x v="1"/>
  </r>
  <r>
    <n v="58759"/>
    <s v="Emp 550"/>
    <s v="29101062170426"/>
    <x v="7"/>
    <x v="1"/>
    <d v="1991-01-06T00:00:00"/>
    <n v="35.1"/>
    <x v="1"/>
    <x v="1"/>
    <x v="0"/>
    <s v="Giza"/>
    <d v="2023-12-13T00:00:00"/>
    <n v="2.1638888888888888"/>
    <n v="5116"/>
    <x v="6"/>
    <x v="1"/>
  </r>
  <r>
    <n v="59427"/>
    <s v="Emp 551"/>
    <s v="29011100271816"/>
    <x v="7"/>
    <x v="0"/>
    <d v="1990-11-10T00:00:00"/>
    <n v="35.255555555555553"/>
    <x v="0"/>
    <x v="1"/>
    <x v="1"/>
    <s v="Alexandria"/>
    <d v="2023-12-14T00:00:00"/>
    <n v="2.161111111111111"/>
    <n v="6382"/>
    <x v="6"/>
    <x v="0"/>
  </r>
  <r>
    <n v="52772"/>
    <s v="Emp 552"/>
    <s v="28906030181133"/>
    <x v="5"/>
    <x v="0"/>
    <d v="1989-06-03T00:00:00"/>
    <n v="36.69166666666667"/>
    <x v="1"/>
    <x v="1"/>
    <x v="4"/>
    <s v="Cairo"/>
    <d v="2023-12-15T00:00:00"/>
    <n v="2.1583333333333332"/>
    <n v="5735"/>
    <x v="6"/>
    <x v="1"/>
  </r>
  <r>
    <n v="59043"/>
    <s v="Emp 553"/>
    <s v="29401071955226"/>
    <x v="3"/>
    <x v="1"/>
    <d v="1994-01-07T00:00:00"/>
    <n v="32.097222222222221"/>
    <x v="0"/>
    <x v="1"/>
    <x v="4"/>
    <s v="Ismailia"/>
    <d v="2023-12-16T00:00:00"/>
    <n v="2.1555555555555554"/>
    <n v="4501"/>
    <x v="6"/>
    <x v="1"/>
  </r>
  <r>
    <n v="52675"/>
    <s v="Emp 554"/>
    <s v="28310191985771"/>
    <x v="9"/>
    <x v="0"/>
    <d v="1983-10-19T00:00:00"/>
    <n v="42.31388888888889"/>
    <x v="1"/>
    <x v="1"/>
    <x v="1"/>
    <s v="Ismailia"/>
    <d v="2023-12-17T00:00:00"/>
    <n v="2.1527777777777777"/>
    <n v="3649"/>
    <x v="6"/>
    <x v="1"/>
  </r>
  <r>
    <n v="56206"/>
    <s v="Emp 555"/>
    <s v="29111051758633"/>
    <x v="3"/>
    <x v="0"/>
    <d v="1991-11-05T00:00:00"/>
    <n v="34.269444444444446"/>
    <x v="1"/>
    <x v="1"/>
    <x v="3"/>
    <s v="Monufia"/>
    <d v="2023-12-18T00:00:00"/>
    <n v="2.15"/>
    <n v="6707"/>
    <x v="6"/>
    <x v="0"/>
  </r>
  <r>
    <n v="58603"/>
    <s v="Emp 556"/>
    <s v="29112091962829"/>
    <x v="6"/>
    <x v="1"/>
    <d v="1991-12-09T00:00:00"/>
    <n v="34.174999999999997"/>
    <x v="1"/>
    <x v="2"/>
    <x v="1"/>
    <s v="Ismailia"/>
    <d v="2023-12-19T00:00:00"/>
    <n v="2.1472222222222221"/>
    <n v="12867"/>
    <x v="6"/>
    <x v="0"/>
  </r>
  <r>
    <n v="53971"/>
    <s v="Emp 557"/>
    <s v="30001160166412"/>
    <x v="9"/>
    <x v="0"/>
    <d v="2000-01-16T00:00:00"/>
    <n v="26.072222222222223"/>
    <x v="0"/>
    <x v="1"/>
    <x v="2"/>
    <s v="Cairo"/>
    <d v="2023-12-20T00:00:00"/>
    <n v="2.1444444444444444"/>
    <n v="4666"/>
    <x v="6"/>
    <x v="1"/>
  </r>
  <r>
    <n v="52994"/>
    <s v="Emp 558"/>
    <s v="29408142176945"/>
    <x v="4"/>
    <x v="1"/>
    <d v="1994-08-14T00:00:00"/>
    <n v="31.494444444444444"/>
    <x v="1"/>
    <x v="1"/>
    <x v="2"/>
    <s v="Giza"/>
    <d v="2023-12-21T00:00:00"/>
    <n v="2.1416666666666666"/>
    <n v="6847"/>
    <x v="6"/>
    <x v="0"/>
  </r>
  <r>
    <n v="50838"/>
    <s v="Emp 559"/>
    <s v="29801152167561"/>
    <x v="0"/>
    <x v="1"/>
    <d v="1998-01-15T00:00:00"/>
    <n v="28.074999999999999"/>
    <x v="0"/>
    <x v="1"/>
    <x v="4"/>
    <s v="Giza"/>
    <d v="2023-12-22T00:00:00"/>
    <n v="2.1388888888888888"/>
    <n v="6302"/>
    <x v="6"/>
    <x v="0"/>
  </r>
  <r>
    <n v="50039"/>
    <s v="Emp 560"/>
    <s v="28806242152098"/>
    <x v="6"/>
    <x v="0"/>
    <d v="1988-06-24T00:00:00"/>
    <n v="37.633333333333333"/>
    <x v="1"/>
    <x v="1"/>
    <x v="4"/>
    <s v="Giza"/>
    <d v="2023-12-23T00:00:00"/>
    <n v="2.1361111111111111"/>
    <n v="6300"/>
    <x v="6"/>
    <x v="0"/>
  </r>
  <r>
    <n v="55004"/>
    <s v="Emp 561"/>
    <s v="28208161369889"/>
    <x v="8"/>
    <x v="1"/>
    <d v="1982-08-16T00:00:00"/>
    <n v="43.488888888888887"/>
    <x v="0"/>
    <x v="1"/>
    <x v="0"/>
    <s v="Sharqia"/>
    <d v="2023-12-24T00:00:00"/>
    <n v="2.1333333333333333"/>
    <n v="4596"/>
    <x v="6"/>
    <x v="1"/>
  </r>
  <r>
    <n v="56874"/>
    <s v="Emp 562"/>
    <s v="29208211955232"/>
    <x v="8"/>
    <x v="0"/>
    <d v="1992-08-21T00:00:00"/>
    <n v="33.475000000000001"/>
    <x v="0"/>
    <x v="1"/>
    <x v="4"/>
    <s v="Ismailia"/>
    <d v="2023-12-25T00:00:00"/>
    <n v="2.1305555555555555"/>
    <n v="6193"/>
    <x v="6"/>
    <x v="0"/>
  </r>
  <r>
    <n v="54213"/>
    <s v="Emp 563"/>
    <s v="29809091369163"/>
    <x v="4"/>
    <x v="1"/>
    <d v="1998-09-09T00:00:00"/>
    <n v="27.425000000000001"/>
    <x v="0"/>
    <x v="0"/>
    <x v="2"/>
    <s v="Sharqia"/>
    <d v="2023-12-26T00:00:00"/>
    <n v="2.1277777777777778"/>
    <n v="24756"/>
    <x v="6"/>
    <x v="0"/>
  </r>
  <r>
    <n v="53688"/>
    <s v="Emp 564"/>
    <s v="29605151970627"/>
    <x v="7"/>
    <x v="1"/>
    <d v="1996-05-15T00:00:00"/>
    <n v="29.741666666666667"/>
    <x v="0"/>
    <x v="1"/>
    <x v="4"/>
    <s v="Ismailia"/>
    <d v="2023-12-27T00:00:00"/>
    <n v="2.125"/>
    <n v="4982"/>
    <x v="6"/>
    <x v="1"/>
  </r>
  <r>
    <n v="56350"/>
    <s v="Emp 565"/>
    <s v="29407042188223"/>
    <x v="3"/>
    <x v="1"/>
    <d v="1994-07-04T00:00:00"/>
    <n v="31.605555555555554"/>
    <x v="0"/>
    <x v="1"/>
    <x v="4"/>
    <s v="Giza"/>
    <d v="2023-12-28T00:00:00"/>
    <n v="2.1222222222222222"/>
    <n v="4023"/>
    <x v="6"/>
    <x v="1"/>
  </r>
  <r>
    <n v="53649"/>
    <s v="Emp 566"/>
    <s v="28305211359225"/>
    <x v="0"/>
    <x v="1"/>
    <d v="1983-05-21T00:00:00"/>
    <n v="42.725000000000001"/>
    <x v="1"/>
    <x v="1"/>
    <x v="0"/>
    <s v="Sharqia"/>
    <d v="2023-12-29T00:00:00"/>
    <n v="2.1194444444444445"/>
    <n v="5960"/>
    <x v="6"/>
    <x v="0"/>
  </r>
  <r>
    <n v="52290"/>
    <s v="Emp 567"/>
    <s v="30110171971581"/>
    <x v="4"/>
    <x v="1"/>
    <d v="2001-10-17T00:00:00"/>
    <n v="24.319444444444443"/>
    <x v="0"/>
    <x v="0"/>
    <x v="0"/>
    <s v="Ismailia"/>
    <d v="2023-12-30T00:00:00"/>
    <n v="2.1166666666666667"/>
    <n v="29559"/>
    <x v="6"/>
    <x v="0"/>
  </r>
  <r>
    <n v="52420"/>
    <s v="Emp 568"/>
    <s v="30110061979058"/>
    <x v="5"/>
    <x v="0"/>
    <d v="2001-10-06T00:00:00"/>
    <n v="24.35"/>
    <x v="1"/>
    <x v="0"/>
    <x v="1"/>
    <s v="Ismailia"/>
    <d v="2023-12-31T00:00:00"/>
    <n v="2.1166666666666667"/>
    <n v="18070"/>
    <x v="6"/>
    <x v="0"/>
  </r>
  <r>
    <n v="54146"/>
    <s v="Emp 569"/>
    <s v="29110090252291"/>
    <x v="5"/>
    <x v="0"/>
    <d v="1991-10-09T00:00:00"/>
    <n v="34.341666666666669"/>
    <x v="0"/>
    <x v="0"/>
    <x v="0"/>
    <s v="Alexandria"/>
    <d v="2024-01-01T00:00:00"/>
    <n v="2.1138888888888889"/>
    <n v="22589"/>
    <x v="7"/>
    <x v="0"/>
  </r>
  <r>
    <n v="52910"/>
    <s v="Emp 570"/>
    <s v="29302041990927"/>
    <x v="4"/>
    <x v="1"/>
    <d v="1993-02-04T00:00:00"/>
    <n v="33.022222222222226"/>
    <x v="0"/>
    <x v="1"/>
    <x v="3"/>
    <s v="Ismailia"/>
    <d v="2024-01-02T00:00:00"/>
    <n v="2.1111111111111112"/>
    <n v="5659"/>
    <x v="7"/>
    <x v="1"/>
  </r>
  <r>
    <n v="57141"/>
    <s v="Emp 571"/>
    <s v="29107250263286"/>
    <x v="7"/>
    <x v="1"/>
    <d v="1991-07-25T00:00:00"/>
    <n v="34.547222222222224"/>
    <x v="0"/>
    <x v="1"/>
    <x v="4"/>
    <s v="Alexandria"/>
    <d v="2024-01-03T00:00:00"/>
    <n v="2.1083333333333334"/>
    <n v="3425"/>
    <x v="7"/>
    <x v="1"/>
  </r>
  <r>
    <n v="52919"/>
    <s v="Emp 572"/>
    <s v="30304260172613"/>
    <x v="4"/>
    <x v="0"/>
    <d v="2003-04-26T00:00:00"/>
    <n v="22.794444444444444"/>
    <x v="0"/>
    <x v="1"/>
    <x v="1"/>
    <s v="Cairo"/>
    <d v="2024-01-04T00:00:00"/>
    <n v="2.1055555555555556"/>
    <n v="5335"/>
    <x v="7"/>
    <x v="1"/>
  </r>
  <r>
    <n v="55200"/>
    <s v="Emp 573"/>
    <s v="29602051363069"/>
    <x v="6"/>
    <x v="1"/>
    <d v="1996-02-05T00:00:00"/>
    <n v="30.019444444444446"/>
    <x v="0"/>
    <x v="1"/>
    <x v="1"/>
    <s v="Sharqia"/>
    <d v="2024-01-05T00:00:00"/>
    <n v="2.1027777777777779"/>
    <n v="5248"/>
    <x v="7"/>
    <x v="1"/>
  </r>
  <r>
    <n v="54761"/>
    <s v="Emp 574"/>
    <s v="28908180259576"/>
    <x v="8"/>
    <x v="0"/>
    <d v="1989-08-18T00:00:00"/>
    <n v="36.483333333333334"/>
    <x v="1"/>
    <x v="1"/>
    <x v="2"/>
    <s v="Alexandria"/>
    <d v="2024-01-06T00:00:00"/>
    <n v="2.1"/>
    <n v="3132"/>
    <x v="7"/>
    <x v="1"/>
  </r>
  <r>
    <n v="56327"/>
    <s v="Emp 575"/>
    <s v="29801042155887"/>
    <x v="2"/>
    <x v="1"/>
    <d v="1998-01-04T00:00:00"/>
    <n v="28.105555555555554"/>
    <x v="1"/>
    <x v="1"/>
    <x v="2"/>
    <s v="Giza"/>
    <d v="2024-01-07T00:00:00"/>
    <n v="2.0972222222222223"/>
    <n v="5014"/>
    <x v="7"/>
    <x v="1"/>
  </r>
  <r>
    <n v="53359"/>
    <s v="Emp 576"/>
    <s v="29008112163845"/>
    <x v="2"/>
    <x v="1"/>
    <d v="1990-08-11T00:00:00"/>
    <n v="35.50277777777778"/>
    <x v="0"/>
    <x v="1"/>
    <x v="4"/>
    <s v="Giza"/>
    <d v="2024-01-08T00:00:00"/>
    <n v="2.0944444444444446"/>
    <n v="3147"/>
    <x v="7"/>
    <x v="1"/>
  </r>
  <r>
    <n v="57994"/>
    <s v="Emp 577"/>
    <s v="29908012180021"/>
    <x v="9"/>
    <x v="1"/>
    <d v="1999-08-01T00:00:00"/>
    <n v="26.530555555555555"/>
    <x v="1"/>
    <x v="0"/>
    <x v="3"/>
    <s v="Giza"/>
    <d v="2024-01-09T00:00:00"/>
    <n v="2.0916666666666668"/>
    <n v="28349"/>
    <x v="7"/>
    <x v="0"/>
  </r>
  <r>
    <n v="57767"/>
    <s v="Emp 578"/>
    <s v="29701281770499"/>
    <x v="5"/>
    <x v="0"/>
    <d v="1997-01-28T00:00:00"/>
    <n v="29.038888888888888"/>
    <x v="0"/>
    <x v="1"/>
    <x v="2"/>
    <s v="Monufia"/>
    <d v="2024-01-10T00:00:00"/>
    <n v="2.088888888888889"/>
    <n v="6602"/>
    <x v="7"/>
    <x v="0"/>
  </r>
  <r>
    <n v="56363"/>
    <s v="Emp 579"/>
    <s v="30108010153282"/>
    <x v="8"/>
    <x v="1"/>
    <d v="2001-08-01T00:00:00"/>
    <n v="24.530555555555555"/>
    <x v="1"/>
    <x v="1"/>
    <x v="1"/>
    <s v="Cairo"/>
    <d v="2024-01-11T00:00:00"/>
    <n v="2.0861111111111112"/>
    <n v="6342"/>
    <x v="7"/>
    <x v="0"/>
  </r>
  <r>
    <n v="54870"/>
    <s v="Emp 580"/>
    <s v="29308010180515"/>
    <x v="2"/>
    <x v="0"/>
    <d v="1993-08-01T00:00:00"/>
    <n v="32.530555555555559"/>
    <x v="0"/>
    <x v="0"/>
    <x v="4"/>
    <s v="Cairo"/>
    <d v="2024-01-12T00:00:00"/>
    <n v="2.0833333333333335"/>
    <n v="29868"/>
    <x v="7"/>
    <x v="0"/>
  </r>
  <r>
    <n v="55027"/>
    <s v="Emp 581"/>
    <s v="29310081787026"/>
    <x v="4"/>
    <x v="1"/>
    <d v="1993-10-08T00:00:00"/>
    <n v="32.344444444444441"/>
    <x v="0"/>
    <x v="1"/>
    <x v="0"/>
    <s v="Monufia"/>
    <d v="2024-01-13T00:00:00"/>
    <n v="2.0805555555555557"/>
    <n v="5221"/>
    <x v="7"/>
    <x v="1"/>
  </r>
  <r>
    <n v="59853"/>
    <s v="Emp 582"/>
    <s v="29805180256256"/>
    <x v="4"/>
    <x v="0"/>
    <d v="1998-05-18T00:00:00"/>
    <n v="27.733333333333334"/>
    <x v="0"/>
    <x v="2"/>
    <x v="3"/>
    <s v="Alexandria"/>
    <d v="2024-01-14T00:00:00"/>
    <n v="2.0777777777777779"/>
    <n v="12107"/>
    <x v="7"/>
    <x v="0"/>
  </r>
  <r>
    <n v="50616"/>
    <s v="Emp 583"/>
    <s v="29403251382359"/>
    <x v="5"/>
    <x v="0"/>
    <d v="1994-03-25T00:00:00"/>
    <n v="31.880555555555556"/>
    <x v="0"/>
    <x v="0"/>
    <x v="4"/>
    <s v="Sharqia"/>
    <d v="2024-01-15T00:00:00"/>
    <n v="2.0750000000000002"/>
    <n v="29051"/>
    <x v="7"/>
    <x v="0"/>
  </r>
  <r>
    <n v="53143"/>
    <s v="Emp 584"/>
    <s v="28707261962885"/>
    <x v="4"/>
    <x v="1"/>
    <d v="1987-07-26T00:00:00"/>
    <n v="38.544444444444444"/>
    <x v="1"/>
    <x v="1"/>
    <x v="3"/>
    <s v="Ismailia"/>
    <d v="2024-01-16T00:00:00"/>
    <n v="2.0722222222222224"/>
    <n v="4338"/>
    <x v="7"/>
    <x v="1"/>
  </r>
  <r>
    <n v="59995"/>
    <s v="Emp 585"/>
    <s v="28207191374282"/>
    <x v="9"/>
    <x v="1"/>
    <d v="1982-07-19T00:00:00"/>
    <n v="43.56388888888889"/>
    <x v="0"/>
    <x v="1"/>
    <x v="4"/>
    <s v="Sharqia"/>
    <d v="2024-01-17T00:00:00"/>
    <n v="2.0694444444444446"/>
    <n v="4674"/>
    <x v="7"/>
    <x v="1"/>
  </r>
  <r>
    <n v="51698"/>
    <s v="Emp 586"/>
    <s v="28407150253959"/>
    <x v="4"/>
    <x v="0"/>
    <d v="1984-07-15T00:00:00"/>
    <n v="41.575000000000003"/>
    <x v="0"/>
    <x v="1"/>
    <x v="4"/>
    <s v="Alexandria"/>
    <d v="2024-01-18T00:00:00"/>
    <n v="2.0666666666666669"/>
    <n v="3551"/>
    <x v="7"/>
    <x v="1"/>
  </r>
  <r>
    <n v="54955"/>
    <s v="Emp 587"/>
    <s v="28307152190456"/>
    <x v="5"/>
    <x v="0"/>
    <d v="1983-07-15T00:00:00"/>
    <n v="42.575000000000003"/>
    <x v="1"/>
    <x v="1"/>
    <x v="1"/>
    <s v="Giza"/>
    <d v="2024-01-19T00:00:00"/>
    <n v="2.0638888888888891"/>
    <n v="6382"/>
    <x v="7"/>
    <x v="0"/>
  </r>
  <r>
    <n v="54608"/>
    <s v="Emp 588"/>
    <s v="28511111969741"/>
    <x v="3"/>
    <x v="1"/>
    <d v="1985-11-11T00:00:00"/>
    <n v="40.25277777777778"/>
    <x v="0"/>
    <x v="1"/>
    <x v="4"/>
    <s v="Ismailia"/>
    <d v="2024-01-20T00:00:00"/>
    <n v="2.0611111111111109"/>
    <n v="3686"/>
    <x v="7"/>
    <x v="1"/>
  </r>
  <r>
    <n v="59832"/>
    <s v="Emp 589"/>
    <s v="29410231354228"/>
    <x v="2"/>
    <x v="1"/>
    <d v="1994-10-23T00:00:00"/>
    <n v="31.302777777777777"/>
    <x v="0"/>
    <x v="0"/>
    <x v="2"/>
    <s v="Sharqia"/>
    <d v="2024-01-21T00:00:00"/>
    <n v="2.0583333333333331"/>
    <n v="25101"/>
    <x v="7"/>
    <x v="0"/>
  </r>
  <r>
    <n v="56055"/>
    <s v="Emp 590"/>
    <s v="28304232187012"/>
    <x v="5"/>
    <x v="0"/>
    <d v="1983-04-23T00:00:00"/>
    <n v="42.802777777777777"/>
    <x v="1"/>
    <x v="1"/>
    <x v="0"/>
    <s v="Giza"/>
    <d v="2024-01-22T00:00:00"/>
    <n v="2.0555555555555554"/>
    <n v="3584"/>
    <x v="7"/>
    <x v="1"/>
  </r>
  <r>
    <n v="56655"/>
    <s v="Emp 591"/>
    <s v="29403200274955"/>
    <x v="2"/>
    <x v="0"/>
    <d v="1994-03-20T00:00:00"/>
    <n v="31.894444444444446"/>
    <x v="1"/>
    <x v="1"/>
    <x v="0"/>
    <s v="Alexandria"/>
    <d v="2024-01-23T00:00:00"/>
    <n v="2.0527777777777776"/>
    <n v="6124"/>
    <x v="7"/>
    <x v="0"/>
  </r>
  <r>
    <n v="55546"/>
    <s v="Emp 592"/>
    <s v="28901060161963"/>
    <x v="5"/>
    <x v="1"/>
    <d v="1989-01-06T00:00:00"/>
    <n v="37.1"/>
    <x v="1"/>
    <x v="1"/>
    <x v="3"/>
    <s v="Cairo"/>
    <d v="2024-01-24T00:00:00"/>
    <n v="2.0499999999999998"/>
    <n v="4787"/>
    <x v="7"/>
    <x v="1"/>
  </r>
  <r>
    <n v="54546"/>
    <s v="Emp 593"/>
    <s v="28704282175678"/>
    <x v="2"/>
    <x v="0"/>
    <d v="1987-04-28T00:00:00"/>
    <n v="38.788888888888891"/>
    <x v="0"/>
    <x v="0"/>
    <x v="1"/>
    <s v="Giza"/>
    <d v="2024-01-25T00:00:00"/>
    <n v="2.0472222222222221"/>
    <n v="26808"/>
    <x v="7"/>
    <x v="0"/>
  </r>
  <r>
    <n v="50071"/>
    <s v="Emp 594"/>
    <s v="30202221367075"/>
    <x v="5"/>
    <x v="0"/>
    <d v="2002-02-22T00:00:00"/>
    <n v="23.972222222222221"/>
    <x v="0"/>
    <x v="1"/>
    <x v="4"/>
    <s v="Sharqia"/>
    <d v="2024-01-26T00:00:00"/>
    <n v="2.0444444444444443"/>
    <n v="6110"/>
    <x v="7"/>
    <x v="0"/>
  </r>
  <r>
    <n v="54445"/>
    <s v="Emp 595"/>
    <s v="28610231977671"/>
    <x v="8"/>
    <x v="0"/>
    <d v="1986-10-23T00:00:00"/>
    <n v="39.302777777777777"/>
    <x v="0"/>
    <x v="1"/>
    <x v="2"/>
    <s v="Ismailia"/>
    <d v="2024-01-27T00:00:00"/>
    <n v="2.0416666666666665"/>
    <n v="6954"/>
    <x v="7"/>
    <x v="0"/>
  </r>
  <r>
    <n v="52027"/>
    <s v="Emp 596"/>
    <s v="30108041380675"/>
    <x v="4"/>
    <x v="0"/>
    <d v="2001-08-04T00:00:00"/>
    <n v="24.522222222222222"/>
    <x v="1"/>
    <x v="0"/>
    <x v="2"/>
    <s v="Sharqia"/>
    <d v="2024-01-28T00:00:00"/>
    <n v="2.0388888888888888"/>
    <n v="26304"/>
    <x v="7"/>
    <x v="0"/>
  </r>
  <r>
    <n v="56058"/>
    <s v="Emp 597"/>
    <s v="30101151357349"/>
    <x v="5"/>
    <x v="1"/>
    <d v="2001-01-15T00:00:00"/>
    <n v="25.074999999999999"/>
    <x v="0"/>
    <x v="1"/>
    <x v="0"/>
    <s v="Sharqia"/>
    <d v="2024-01-29T00:00:00"/>
    <n v="2.036111111111111"/>
    <n v="3866"/>
    <x v="7"/>
    <x v="1"/>
  </r>
  <r>
    <n v="53488"/>
    <s v="Emp 598"/>
    <s v="30112011390346"/>
    <x v="6"/>
    <x v="1"/>
    <d v="2001-12-01T00:00:00"/>
    <n v="24.197222222222223"/>
    <x v="1"/>
    <x v="2"/>
    <x v="0"/>
    <s v="Sharqia"/>
    <d v="2024-01-30T00:00:00"/>
    <n v="2.0333333333333332"/>
    <n v="13615"/>
    <x v="7"/>
    <x v="0"/>
  </r>
  <r>
    <n v="57363"/>
    <s v="Emp 599"/>
    <s v="29503251975898"/>
    <x v="2"/>
    <x v="0"/>
    <d v="1995-03-25T00:00:00"/>
    <n v="30.880555555555556"/>
    <x v="0"/>
    <x v="2"/>
    <x v="1"/>
    <s v="Ismailia"/>
    <d v="2024-01-31T00:00:00"/>
    <n v="2.0333333333333332"/>
    <n v="10057"/>
    <x v="7"/>
    <x v="0"/>
  </r>
  <r>
    <n v="57443"/>
    <s v="Emp 600"/>
    <s v="28301250269936"/>
    <x v="4"/>
    <x v="0"/>
    <d v="1983-01-25T00:00:00"/>
    <n v="43.047222222222224"/>
    <x v="0"/>
    <x v="2"/>
    <x v="4"/>
    <s v="Alexandria"/>
    <d v="2024-02-01T00:00:00"/>
    <n v="2.0305555555555554"/>
    <n v="11769"/>
    <x v="8"/>
    <x v="0"/>
  </r>
  <r>
    <n v="54476"/>
    <s v="Emp 601"/>
    <s v="28302160189583"/>
    <x v="2"/>
    <x v="1"/>
    <d v="1983-02-16T00:00:00"/>
    <n v="42.988888888888887"/>
    <x v="0"/>
    <x v="0"/>
    <x v="4"/>
    <s v="Cairo"/>
    <d v="2024-02-02T00:00:00"/>
    <n v="2.0277777777777777"/>
    <n v="28436"/>
    <x v="8"/>
    <x v="0"/>
  </r>
  <r>
    <n v="50039"/>
    <s v="Emp 602"/>
    <s v="30206120263883"/>
    <x v="7"/>
    <x v="1"/>
    <d v="2002-06-12T00:00:00"/>
    <n v="23.666666666666668"/>
    <x v="0"/>
    <x v="1"/>
    <x v="4"/>
    <s v="Alexandria"/>
    <d v="2024-02-03T00:00:00"/>
    <n v="2.0249999999999999"/>
    <n v="3423"/>
    <x v="8"/>
    <x v="1"/>
  </r>
  <r>
    <n v="58312"/>
    <s v="Emp 603"/>
    <s v="30107230176386"/>
    <x v="3"/>
    <x v="1"/>
    <d v="2001-07-23T00:00:00"/>
    <n v="24.552777777777777"/>
    <x v="0"/>
    <x v="1"/>
    <x v="2"/>
    <s v="Cairo"/>
    <d v="2024-02-04T00:00:00"/>
    <n v="2.0222222222222221"/>
    <n v="4962"/>
    <x v="8"/>
    <x v="1"/>
  </r>
  <r>
    <n v="58500"/>
    <s v="Emp 604"/>
    <s v="29802101970387"/>
    <x v="5"/>
    <x v="1"/>
    <d v="1998-02-10T00:00:00"/>
    <n v="28.005555555555556"/>
    <x v="1"/>
    <x v="1"/>
    <x v="4"/>
    <s v="Ismailia"/>
    <d v="2024-02-05T00:00:00"/>
    <n v="2.0194444444444444"/>
    <n v="3414"/>
    <x v="8"/>
    <x v="1"/>
  </r>
  <r>
    <n v="58743"/>
    <s v="Emp 605"/>
    <s v="28612030187145"/>
    <x v="4"/>
    <x v="1"/>
    <d v="1986-12-03T00:00:00"/>
    <n v="39.19166666666667"/>
    <x v="1"/>
    <x v="1"/>
    <x v="4"/>
    <s v="Cairo"/>
    <d v="2024-02-06T00:00:00"/>
    <n v="2.0166666666666666"/>
    <n v="5637"/>
    <x v="8"/>
    <x v="1"/>
  </r>
  <r>
    <n v="58659"/>
    <s v="Emp 606"/>
    <s v="28412070164017"/>
    <x v="7"/>
    <x v="0"/>
    <d v="1984-12-07T00:00:00"/>
    <n v="41.180555555555557"/>
    <x v="0"/>
    <x v="0"/>
    <x v="4"/>
    <s v="Cairo"/>
    <d v="2024-02-07T00:00:00"/>
    <n v="2.0138888888888888"/>
    <n v="21220"/>
    <x v="8"/>
    <x v="0"/>
  </r>
  <r>
    <n v="57106"/>
    <s v="Emp 607"/>
    <s v="30011221781274"/>
    <x v="4"/>
    <x v="0"/>
    <d v="2000-11-22T00:00:00"/>
    <n v="25.222222222222221"/>
    <x v="0"/>
    <x v="1"/>
    <x v="0"/>
    <s v="Monufia"/>
    <d v="2024-02-08T00:00:00"/>
    <n v="2.0111111111111111"/>
    <n v="6527"/>
    <x v="8"/>
    <x v="0"/>
  </r>
  <r>
    <n v="52077"/>
    <s v="Emp 608"/>
    <s v="29105062160793"/>
    <x v="4"/>
    <x v="0"/>
    <d v="1991-05-06T00:00:00"/>
    <n v="34.766666666666666"/>
    <x v="1"/>
    <x v="1"/>
    <x v="4"/>
    <s v="Giza"/>
    <d v="2024-02-09T00:00:00"/>
    <n v="2.0083333333333333"/>
    <n v="6570"/>
    <x v="8"/>
    <x v="0"/>
  </r>
  <r>
    <n v="51950"/>
    <s v="Emp 609"/>
    <s v="30106100155671"/>
    <x v="7"/>
    <x v="0"/>
    <d v="2001-06-10T00:00:00"/>
    <n v="24.672222222222221"/>
    <x v="1"/>
    <x v="1"/>
    <x v="0"/>
    <s v="Cairo"/>
    <d v="2024-02-10T00:00:00"/>
    <n v="2.0055555555555555"/>
    <n v="6677"/>
    <x v="8"/>
    <x v="0"/>
  </r>
  <r>
    <n v="53238"/>
    <s v="Emp 610"/>
    <s v="29304100275799"/>
    <x v="7"/>
    <x v="0"/>
    <d v="1993-04-10T00:00:00"/>
    <n v="32.838888888888889"/>
    <x v="1"/>
    <x v="2"/>
    <x v="2"/>
    <s v="Alexandria"/>
    <d v="2024-02-11T00:00:00"/>
    <n v="2.0027777777777778"/>
    <n v="13083"/>
    <x v="8"/>
    <x v="0"/>
  </r>
  <r>
    <n v="55605"/>
    <s v="Emp 611"/>
    <s v="29208210262634"/>
    <x v="5"/>
    <x v="0"/>
    <d v="1992-08-21T00:00:00"/>
    <n v="33.475000000000001"/>
    <x v="0"/>
    <x v="1"/>
    <x v="2"/>
    <s v="Alexandria"/>
    <d v="2024-02-12T00:00:00"/>
    <n v="2"/>
    <n v="6864"/>
    <x v="8"/>
    <x v="0"/>
  </r>
  <r>
    <n v="53324"/>
    <s v="Emp 612"/>
    <s v="28505270182259"/>
    <x v="6"/>
    <x v="0"/>
    <d v="1985-05-27T00:00:00"/>
    <n v="40.708333333333336"/>
    <x v="0"/>
    <x v="0"/>
    <x v="1"/>
    <s v="Cairo"/>
    <d v="2024-02-13T00:00:00"/>
    <n v="1.9972222222222222"/>
    <n v="26046"/>
    <x v="8"/>
    <x v="0"/>
  </r>
  <r>
    <n v="54025"/>
    <s v="Emp 613"/>
    <s v="29812060170612"/>
    <x v="8"/>
    <x v="0"/>
    <d v="1998-12-06T00:00:00"/>
    <n v="27.183333333333334"/>
    <x v="0"/>
    <x v="0"/>
    <x v="1"/>
    <s v="Cairo"/>
    <d v="2024-02-14T00:00:00"/>
    <n v="1.9944444444444445"/>
    <n v="20504"/>
    <x v="8"/>
    <x v="0"/>
  </r>
  <r>
    <n v="58742"/>
    <s v="Emp 614"/>
    <s v="29912121788459"/>
    <x v="0"/>
    <x v="0"/>
    <d v="1999-12-12T00:00:00"/>
    <n v="26.166666666666668"/>
    <x v="0"/>
    <x v="1"/>
    <x v="2"/>
    <s v="Monufia"/>
    <d v="2024-02-15T00:00:00"/>
    <n v="1.9916666666666667"/>
    <n v="5135"/>
    <x v="8"/>
    <x v="1"/>
  </r>
  <r>
    <n v="59086"/>
    <s v="Emp 615"/>
    <s v="28308091770086"/>
    <x v="5"/>
    <x v="1"/>
    <d v="1983-08-09T00:00:00"/>
    <n v="42.508333333333333"/>
    <x v="1"/>
    <x v="2"/>
    <x v="2"/>
    <s v="Monufia"/>
    <d v="2024-02-16T00:00:00"/>
    <n v="1.9888888888888889"/>
    <n v="12671"/>
    <x v="8"/>
    <x v="0"/>
  </r>
  <r>
    <n v="53744"/>
    <s v="Emp 616"/>
    <s v="28304081366986"/>
    <x v="9"/>
    <x v="1"/>
    <d v="1983-04-08T00:00:00"/>
    <n v="42.844444444444441"/>
    <x v="0"/>
    <x v="1"/>
    <x v="1"/>
    <s v="Sharqia"/>
    <d v="2024-02-17T00:00:00"/>
    <n v="1.9861111111111112"/>
    <n v="5917"/>
    <x v="8"/>
    <x v="1"/>
  </r>
  <r>
    <n v="57163"/>
    <s v="Emp 617"/>
    <s v="30009071374883"/>
    <x v="4"/>
    <x v="1"/>
    <d v="2000-09-07T00:00:00"/>
    <n v="25.430555555555557"/>
    <x v="1"/>
    <x v="2"/>
    <x v="2"/>
    <s v="Sharqia"/>
    <d v="2024-02-18T00:00:00"/>
    <n v="1.9833333333333334"/>
    <n v="12589"/>
    <x v="8"/>
    <x v="0"/>
  </r>
  <r>
    <n v="55585"/>
    <s v="Emp 618"/>
    <s v="28306040178957"/>
    <x v="4"/>
    <x v="0"/>
    <d v="1983-06-04T00:00:00"/>
    <n v="42.68888888888889"/>
    <x v="0"/>
    <x v="1"/>
    <x v="1"/>
    <s v="Cairo"/>
    <d v="2024-02-19T00:00:00"/>
    <n v="1.9805555555555556"/>
    <n v="5475"/>
    <x v="8"/>
    <x v="1"/>
  </r>
  <r>
    <n v="53476"/>
    <s v="Emp 619"/>
    <s v="29105162158253"/>
    <x v="4"/>
    <x v="0"/>
    <d v="1991-05-16T00:00:00"/>
    <n v="34.738888888888887"/>
    <x v="0"/>
    <x v="0"/>
    <x v="1"/>
    <s v="Giza"/>
    <d v="2024-02-20T00:00:00"/>
    <n v="1.9777777777777779"/>
    <n v="22740"/>
    <x v="8"/>
    <x v="0"/>
  </r>
  <r>
    <n v="52358"/>
    <s v="Emp 620"/>
    <s v="28808281760387"/>
    <x v="7"/>
    <x v="1"/>
    <d v="1988-08-28T00:00:00"/>
    <n v="37.455555555555556"/>
    <x v="1"/>
    <x v="1"/>
    <x v="2"/>
    <s v="Monufia"/>
    <d v="2024-02-21T00:00:00"/>
    <n v="1.9750000000000001"/>
    <n v="6598"/>
    <x v="8"/>
    <x v="0"/>
  </r>
  <r>
    <n v="53396"/>
    <s v="Emp 621"/>
    <s v="29501200158514"/>
    <x v="9"/>
    <x v="0"/>
    <d v="1995-01-20T00:00:00"/>
    <n v="31.06111111111111"/>
    <x v="1"/>
    <x v="1"/>
    <x v="2"/>
    <s v="Cairo"/>
    <d v="2024-02-22T00:00:00"/>
    <n v="1.9722222222222223"/>
    <n v="3182"/>
    <x v="8"/>
    <x v="1"/>
  </r>
  <r>
    <n v="54672"/>
    <s v="Emp 622"/>
    <s v="29701061380412"/>
    <x v="4"/>
    <x v="0"/>
    <d v="1997-01-06T00:00:00"/>
    <n v="29.1"/>
    <x v="1"/>
    <x v="0"/>
    <x v="3"/>
    <s v="Sharqia"/>
    <d v="2024-02-23T00:00:00"/>
    <n v="1.9694444444444446"/>
    <n v="25103"/>
    <x v="8"/>
    <x v="0"/>
  </r>
  <r>
    <n v="58566"/>
    <s v="Emp 623"/>
    <s v="29608111376574"/>
    <x v="4"/>
    <x v="0"/>
    <d v="1996-08-11T00:00:00"/>
    <n v="29.502777777777776"/>
    <x v="1"/>
    <x v="1"/>
    <x v="4"/>
    <s v="Sharqia"/>
    <d v="2024-02-24T00:00:00"/>
    <n v="1.9666666666666666"/>
    <n v="5049"/>
    <x v="8"/>
    <x v="1"/>
  </r>
  <r>
    <n v="56215"/>
    <s v="Emp 624"/>
    <s v="29201042159859"/>
    <x v="9"/>
    <x v="0"/>
    <d v="1992-01-04T00:00:00"/>
    <n v="34.105555555555554"/>
    <x v="1"/>
    <x v="1"/>
    <x v="2"/>
    <s v="Giza"/>
    <d v="2024-02-25T00:00:00"/>
    <n v="1.9638888888888888"/>
    <n v="3801"/>
    <x v="8"/>
    <x v="1"/>
  </r>
  <r>
    <n v="55136"/>
    <s v="Emp 625"/>
    <s v="29012050271921"/>
    <x v="5"/>
    <x v="1"/>
    <d v="1990-12-05T00:00:00"/>
    <n v="35.18611111111111"/>
    <x v="0"/>
    <x v="1"/>
    <x v="2"/>
    <s v="Alexandria"/>
    <d v="2024-02-26T00:00:00"/>
    <n v="1.961111111111111"/>
    <n v="6846"/>
    <x v="8"/>
    <x v="0"/>
  </r>
  <r>
    <n v="53242"/>
    <s v="Emp 626"/>
    <s v="29212101972277"/>
    <x v="9"/>
    <x v="0"/>
    <d v="1992-12-10T00:00:00"/>
    <n v="33.172222222222224"/>
    <x v="0"/>
    <x v="0"/>
    <x v="1"/>
    <s v="Ismailia"/>
    <d v="2024-02-27T00:00:00"/>
    <n v="1.9583333333333333"/>
    <n v="18521"/>
    <x v="8"/>
    <x v="0"/>
  </r>
  <r>
    <n v="53031"/>
    <s v="Emp 627"/>
    <s v="28307210289163"/>
    <x v="7"/>
    <x v="1"/>
    <d v="1983-07-21T00:00:00"/>
    <n v="42.55833333333333"/>
    <x v="1"/>
    <x v="2"/>
    <x v="2"/>
    <s v="Alexandria"/>
    <d v="2024-02-28T00:00:00"/>
    <n v="1.9555555555555555"/>
    <n v="11656"/>
    <x v="8"/>
    <x v="0"/>
  </r>
  <r>
    <n v="57330"/>
    <s v="Emp 628"/>
    <s v="30201230176954"/>
    <x v="6"/>
    <x v="0"/>
    <d v="2002-01-23T00:00:00"/>
    <n v="24.052777777777777"/>
    <x v="0"/>
    <x v="1"/>
    <x v="1"/>
    <s v="Cairo"/>
    <d v="2024-02-29T00:00:00"/>
    <n v="1.95"/>
    <n v="5499"/>
    <x v="8"/>
    <x v="1"/>
  </r>
  <r>
    <n v="51094"/>
    <s v="Emp 629"/>
    <s v="28503130281698"/>
    <x v="8"/>
    <x v="0"/>
    <d v="1985-03-13T00:00:00"/>
    <n v="40.913888888888891"/>
    <x v="1"/>
    <x v="1"/>
    <x v="3"/>
    <s v="Alexandria"/>
    <d v="2024-03-01T00:00:00"/>
    <n v="1.9472222222222222"/>
    <n v="6779"/>
    <x v="9"/>
    <x v="0"/>
  </r>
  <r>
    <n v="55195"/>
    <s v="Emp 630"/>
    <s v="29402211375112"/>
    <x v="9"/>
    <x v="0"/>
    <d v="1994-02-21T00:00:00"/>
    <n v="31.975000000000001"/>
    <x v="1"/>
    <x v="1"/>
    <x v="2"/>
    <s v="Sharqia"/>
    <d v="2024-03-02T00:00:00"/>
    <n v="1.9444444444444444"/>
    <n v="3943"/>
    <x v="9"/>
    <x v="1"/>
  </r>
  <r>
    <n v="51216"/>
    <s v="Emp 631"/>
    <s v="29604060183238"/>
    <x v="0"/>
    <x v="0"/>
    <d v="1996-04-06T00:00:00"/>
    <n v="29.85"/>
    <x v="1"/>
    <x v="1"/>
    <x v="4"/>
    <s v="Cairo"/>
    <d v="2024-03-03T00:00:00"/>
    <n v="1.9416666666666667"/>
    <n v="5826"/>
    <x v="9"/>
    <x v="1"/>
  </r>
  <r>
    <n v="56498"/>
    <s v="Emp 632"/>
    <s v="28611070170174"/>
    <x v="0"/>
    <x v="0"/>
    <d v="1986-11-07T00:00:00"/>
    <n v="39.263888888888886"/>
    <x v="1"/>
    <x v="2"/>
    <x v="0"/>
    <s v="Cairo"/>
    <d v="2024-03-04T00:00:00"/>
    <n v="1.9388888888888889"/>
    <n v="10264"/>
    <x v="9"/>
    <x v="0"/>
  </r>
  <r>
    <n v="52509"/>
    <s v="Emp 633"/>
    <s v="29711040167675"/>
    <x v="7"/>
    <x v="0"/>
    <d v="1997-11-04T00:00:00"/>
    <n v="28.272222222222222"/>
    <x v="0"/>
    <x v="2"/>
    <x v="0"/>
    <s v="Cairo"/>
    <d v="2024-03-05T00:00:00"/>
    <n v="1.9361111111111111"/>
    <n v="11642"/>
    <x v="9"/>
    <x v="0"/>
  </r>
  <r>
    <n v="51025"/>
    <s v="Emp 634"/>
    <s v="28302181788886"/>
    <x v="0"/>
    <x v="1"/>
    <d v="1983-02-18T00:00:00"/>
    <n v="42.983333333333334"/>
    <x v="0"/>
    <x v="0"/>
    <x v="1"/>
    <s v="Monufia"/>
    <d v="2024-03-06T00:00:00"/>
    <n v="1.9333333333333333"/>
    <n v="17727"/>
    <x v="9"/>
    <x v="0"/>
  </r>
  <r>
    <n v="56518"/>
    <s v="Emp 635"/>
    <s v="29303220252645"/>
    <x v="9"/>
    <x v="1"/>
    <d v="1993-03-22T00:00:00"/>
    <n v="32.888888888888886"/>
    <x v="1"/>
    <x v="0"/>
    <x v="4"/>
    <s v="Alexandria"/>
    <d v="2024-03-07T00:00:00"/>
    <n v="1.9305555555555556"/>
    <n v="19208"/>
    <x v="9"/>
    <x v="0"/>
  </r>
  <r>
    <n v="56053"/>
    <s v="Emp 636"/>
    <s v="29404070278325"/>
    <x v="0"/>
    <x v="1"/>
    <d v="1994-04-07T00:00:00"/>
    <n v="31.847222222222221"/>
    <x v="1"/>
    <x v="1"/>
    <x v="2"/>
    <s v="Alexandria"/>
    <d v="2024-03-08T00:00:00"/>
    <n v="1.9277777777777778"/>
    <n v="6080"/>
    <x v="9"/>
    <x v="0"/>
  </r>
  <r>
    <n v="58021"/>
    <s v="Emp 637"/>
    <s v="29902280187665"/>
    <x v="9"/>
    <x v="1"/>
    <d v="1999-02-28T00:00:00"/>
    <n v="26.95"/>
    <x v="1"/>
    <x v="1"/>
    <x v="0"/>
    <s v="Cairo"/>
    <d v="2024-03-09T00:00:00"/>
    <n v="1.925"/>
    <n v="4053"/>
    <x v="9"/>
    <x v="1"/>
  </r>
  <r>
    <n v="53075"/>
    <s v="Emp 638"/>
    <s v="28810281754886"/>
    <x v="7"/>
    <x v="1"/>
    <d v="1988-10-28T00:00:00"/>
    <n v="37.288888888888891"/>
    <x v="1"/>
    <x v="1"/>
    <x v="1"/>
    <s v="Monufia"/>
    <d v="2024-03-10T00:00:00"/>
    <n v="1.9222222222222223"/>
    <n v="5666"/>
    <x v="9"/>
    <x v="1"/>
  </r>
  <r>
    <n v="58303"/>
    <s v="Emp 639"/>
    <s v="29109281382289"/>
    <x v="2"/>
    <x v="1"/>
    <d v="1991-09-28T00:00:00"/>
    <n v="34.37222222222222"/>
    <x v="0"/>
    <x v="1"/>
    <x v="0"/>
    <s v="Sharqia"/>
    <d v="2024-03-11T00:00:00"/>
    <n v="1.9194444444444445"/>
    <n v="5859"/>
    <x v="9"/>
    <x v="1"/>
  </r>
  <r>
    <n v="51787"/>
    <s v="Emp 640"/>
    <s v="29112191977897"/>
    <x v="4"/>
    <x v="0"/>
    <d v="1991-12-19T00:00:00"/>
    <n v="34.147222222222226"/>
    <x v="0"/>
    <x v="2"/>
    <x v="1"/>
    <s v="Ismailia"/>
    <d v="2024-03-12T00:00:00"/>
    <n v="1.9166666666666667"/>
    <n v="13183"/>
    <x v="9"/>
    <x v="0"/>
  </r>
  <r>
    <n v="57640"/>
    <s v="Emp 641"/>
    <s v="30310161967326"/>
    <x v="7"/>
    <x v="1"/>
    <d v="2003-10-16T00:00:00"/>
    <n v="22.322222222222223"/>
    <x v="1"/>
    <x v="1"/>
    <x v="1"/>
    <s v="Ismailia"/>
    <d v="2024-03-13T00:00:00"/>
    <n v="1.913888888888889"/>
    <n v="4817"/>
    <x v="9"/>
    <x v="1"/>
  </r>
  <r>
    <n v="53651"/>
    <s v="Emp 642"/>
    <s v="29010271360624"/>
    <x v="8"/>
    <x v="1"/>
    <d v="1990-10-27T00:00:00"/>
    <n v="35.291666666666664"/>
    <x v="1"/>
    <x v="1"/>
    <x v="4"/>
    <s v="Sharqia"/>
    <d v="2024-03-14T00:00:00"/>
    <n v="1.9111111111111112"/>
    <n v="6868"/>
    <x v="9"/>
    <x v="0"/>
  </r>
  <r>
    <n v="57816"/>
    <s v="Emp 643"/>
    <s v="28707111380935"/>
    <x v="7"/>
    <x v="0"/>
    <d v="1987-07-11T00:00:00"/>
    <n v="38.586111111111109"/>
    <x v="0"/>
    <x v="1"/>
    <x v="3"/>
    <s v="Sharqia"/>
    <d v="2024-03-15T00:00:00"/>
    <n v="1.9083333333333334"/>
    <n v="6951"/>
    <x v="9"/>
    <x v="0"/>
  </r>
  <r>
    <n v="57932"/>
    <s v="Emp 644"/>
    <s v="28808182168237"/>
    <x v="3"/>
    <x v="0"/>
    <d v="1988-08-18T00:00:00"/>
    <n v="37.483333333333334"/>
    <x v="0"/>
    <x v="1"/>
    <x v="4"/>
    <s v="Giza"/>
    <d v="2024-03-16T00:00:00"/>
    <n v="1.9055555555555554"/>
    <n v="5779"/>
    <x v="9"/>
    <x v="1"/>
  </r>
  <r>
    <n v="51920"/>
    <s v="Emp 645"/>
    <s v="28610251969752"/>
    <x v="0"/>
    <x v="0"/>
    <d v="1986-10-25T00:00:00"/>
    <n v="39.297222222222224"/>
    <x v="1"/>
    <x v="0"/>
    <x v="2"/>
    <s v="Ismailia"/>
    <d v="2024-03-17T00:00:00"/>
    <n v="1.9027777777777777"/>
    <n v="15489"/>
    <x v="9"/>
    <x v="0"/>
  </r>
  <r>
    <n v="56263"/>
    <s v="Emp 646"/>
    <s v="29805161971358"/>
    <x v="0"/>
    <x v="0"/>
    <d v="1998-05-16T00:00:00"/>
    <n v="27.738888888888887"/>
    <x v="1"/>
    <x v="1"/>
    <x v="3"/>
    <s v="Ismailia"/>
    <d v="2024-03-18T00:00:00"/>
    <n v="1.9"/>
    <n v="5712"/>
    <x v="9"/>
    <x v="1"/>
  </r>
  <r>
    <n v="53986"/>
    <s v="Emp 647"/>
    <s v="29101101773486"/>
    <x v="8"/>
    <x v="1"/>
    <d v="1991-01-10T00:00:00"/>
    <n v="35.088888888888889"/>
    <x v="1"/>
    <x v="1"/>
    <x v="3"/>
    <s v="Monufia"/>
    <d v="2024-03-19T00:00:00"/>
    <n v="1.8972222222222221"/>
    <n v="3156"/>
    <x v="9"/>
    <x v="1"/>
  </r>
  <r>
    <n v="50306"/>
    <s v="Emp 648"/>
    <s v="28409211357218"/>
    <x v="6"/>
    <x v="0"/>
    <d v="1984-09-21T00:00:00"/>
    <n v="41.391666666666666"/>
    <x v="0"/>
    <x v="1"/>
    <x v="2"/>
    <s v="Sharqia"/>
    <d v="2024-03-20T00:00:00"/>
    <n v="1.8944444444444444"/>
    <n v="5994"/>
    <x v="9"/>
    <x v="0"/>
  </r>
  <r>
    <n v="54613"/>
    <s v="Emp 649"/>
    <s v="28704091388054"/>
    <x v="0"/>
    <x v="0"/>
    <d v="1987-04-09T00:00:00"/>
    <n v="38.841666666666669"/>
    <x v="0"/>
    <x v="1"/>
    <x v="1"/>
    <s v="Sharqia"/>
    <d v="2024-03-21T00:00:00"/>
    <n v="1.8916666666666666"/>
    <n v="4663"/>
    <x v="9"/>
    <x v="1"/>
  </r>
  <r>
    <n v="50500"/>
    <s v="Emp 650"/>
    <s v="29811131969289"/>
    <x v="8"/>
    <x v="1"/>
    <d v="1998-11-13T00:00:00"/>
    <n v="27.247222222222224"/>
    <x v="1"/>
    <x v="1"/>
    <x v="3"/>
    <s v="Ismailia"/>
    <d v="2024-03-22T00:00:00"/>
    <n v="1.8888888888888888"/>
    <n v="4438"/>
    <x v="9"/>
    <x v="1"/>
  </r>
  <r>
    <n v="52364"/>
    <s v="Emp 651"/>
    <s v="30005131763839"/>
    <x v="6"/>
    <x v="0"/>
    <d v="2000-05-13T00:00:00"/>
    <n v="25.747222222222224"/>
    <x v="1"/>
    <x v="0"/>
    <x v="0"/>
    <s v="Monufia"/>
    <d v="2024-03-23T00:00:00"/>
    <n v="1.8861111111111111"/>
    <n v="29480"/>
    <x v="9"/>
    <x v="0"/>
  </r>
  <r>
    <n v="58822"/>
    <s v="Emp 652"/>
    <s v="28305030169423"/>
    <x v="4"/>
    <x v="1"/>
    <d v="1983-05-03T00:00:00"/>
    <n v="42.774999999999999"/>
    <x v="0"/>
    <x v="1"/>
    <x v="1"/>
    <s v="Cairo"/>
    <d v="2024-03-24T00:00:00"/>
    <n v="1.8833333333333333"/>
    <n v="4400"/>
    <x v="9"/>
    <x v="1"/>
  </r>
  <r>
    <n v="59296"/>
    <s v="Emp 653"/>
    <s v="30306170291467"/>
    <x v="2"/>
    <x v="1"/>
    <d v="2003-06-17T00:00:00"/>
    <n v="22.652777777777779"/>
    <x v="1"/>
    <x v="1"/>
    <x v="0"/>
    <s v="Alexandria"/>
    <d v="2024-03-25T00:00:00"/>
    <n v="1.8805555555555555"/>
    <n v="5712"/>
    <x v="9"/>
    <x v="1"/>
  </r>
  <r>
    <n v="55451"/>
    <s v="Emp 654"/>
    <s v="28406141980476"/>
    <x v="8"/>
    <x v="0"/>
    <d v="1984-06-14T00:00:00"/>
    <n v="41.661111111111111"/>
    <x v="0"/>
    <x v="2"/>
    <x v="3"/>
    <s v="Ismailia"/>
    <d v="2024-03-26T00:00:00"/>
    <n v="1.8777777777777778"/>
    <n v="12962"/>
    <x v="9"/>
    <x v="0"/>
  </r>
  <r>
    <n v="58506"/>
    <s v="Emp 655"/>
    <s v="29403181386732"/>
    <x v="5"/>
    <x v="0"/>
    <d v="1994-03-18T00:00:00"/>
    <n v="31.9"/>
    <x v="0"/>
    <x v="1"/>
    <x v="4"/>
    <s v="Sharqia"/>
    <d v="2024-03-27T00:00:00"/>
    <n v="1.875"/>
    <n v="6886"/>
    <x v="9"/>
    <x v="0"/>
  </r>
  <r>
    <n v="57676"/>
    <s v="Emp 656"/>
    <s v="28506120263486"/>
    <x v="4"/>
    <x v="1"/>
    <d v="1985-06-12T00:00:00"/>
    <n v="40.666666666666664"/>
    <x v="0"/>
    <x v="0"/>
    <x v="1"/>
    <s v="Alexandria"/>
    <d v="2024-03-28T00:00:00"/>
    <n v="1.8722222222222222"/>
    <n v="29911"/>
    <x v="9"/>
    <x v="0"/>
  </r>
  <r>
    <n v="56590"/>
    <s v="Emp 657"/>
    <s v="29403232184777"/>
    <x v="5"/>
    <x v="0"/>
    <d v="1994-03-23T00:00:00"/>
    <n v="31.886111111111113"/>
    <x v="0"/>
    <x v="2"/>
    <x v="1"/>
    <s v="Giza"/>
    <d v="2024-03-29T00:00:00"/>
    <n v="1.8694444444444445"/>
    <n v="14246"/>
    <x v="9"/>
    <x v="0"/>
  </r>
  <r>
    <n v="56311"/>
    <s v="Emp 658"/>
    <s v="29910062155545"/>
    <x v="3"/>
    <x v="1"/>
    <d v="1999-10-06T00:00:00"/>
    <n v="26.35"/>
    <x v="1"/>
    <x v="1"/>
    <x v="1"/>
    <s v="Giza"/>
    <d v="2024-03-30T00:00:00"/>
    <n v="1.8666666666666667"/>
    <n v="6579"/>
    <x v="9"/>
    <x v="0"/>
  </r>
  <r>
    <n v="53563"/>
    <s v="Emp 659"/>
    <s v="29410071954153"/>
    <x v="0"/>
    <x v="0"/>
    <d v="1994-10-07T00:00:00"/>
    <n v="31.347222222222221"/>
    <x v="1"/>
    <x v="1"/>
    <x v="2"/>
    <s v="Ismailia"/>
    <d v="2024-03-31T00:00:00"/>
    <n v="1.8666666666666667"/>
    <n v="3364"/>
    <x v="9"/>
    <x v="1"/>
  </r>
  <r>
    <n v="59714"/>
    <s v="Emp 660"/>
    <s v="28711030152742"/>
    <x v="3"/>
    <x v="1"/>
    <d v="1987-11-03T00:00:00"/>
    <n v="38.274999999999999"/>
    <x v="1"/>
    <x v="1"/>
    <x v="0"/>
    <s v="Cairo"/>
    <d v="2024-04-01T00:00:00"/>
    <n v="1.8638888888888889"/>
    <n v="3494"/>
    <x v="10"/>
    <x v="1"/>
  </r>
  <r>
    <n v="54789"/>
    <s v="Emp 661"/>
    <s v="28311101779165"/>
    <x v="4"/>
    <x v="1"/>
    <d v="1983-11-10T00:00:00"/>
    <n v="42.255555555555553"/>
    <x v="0"/>
    <x v="2"/>
    <x v="4"/>
    <s v="Monufia"/>
    <d v="2024-04-02T00:00:00"/>
    <n v="1.8611111111111112"/>
    <n v="11271"/>
    <x v="10"/>
    <x v="0"/>
  </r>
  <r>
    <n v="57649"/>
    <s v="Emp 662"/>
    <s v="29102210162655"/>
    <x v="9"/>
    <x v="0"/>
    <d v="1991-02-21T00:00:00"/>
    <n v="34.975000000000001"/>
    <x v="0"/>
    <x v="1"/>
    <x v="3"/>
    <s v="Cairo"/>
    <d v="2024-04-03T00:00:00"/>
    <n v="1.8583333333333334"/>
    <n v="5825"/>
    <x v="10"/>
    <x v="1"/>
  </r>
  <r>
    <n v="58753"/>
    <s v="Emp 663"/>
    <s v="28303240182233"/>
    <x v="3"/>
    <x v="0"/>
    <d v="1983-03-24T00:00:00"/>
    <n v="42.883333333333333"/>
    <x v="0"/>
    <x v="2"/>
    <x v="2"/>
    <s v="Cairo"/>
    <d v="2024-04-04T00:00:00"/>
    <n v="1.8555555555555556"/>
    <n v="13394"/>
    <x v="10"/>
    <x v="0"/>
  </r>
  <r>
    <n v="52536"/>
    <s v="Emp 664"/>
    <s v="30008201980397"/>
    <x v="8"/>
    <x v="0"/>
    <d v="2000-08-20T00:00:00"/>
    <n v="25.477777777777778"/>
    <x v="1"/>
    <x v="1"/>
    <x v="3"/>
    <s v="Ismailia"/>
    <d v="2024-04-05T00:00:00"/>
    <n v="1.8527777777777779"/>
    <n v="5805"/>
    <x v="10"/>
    <x v="1"/>
  </r>
  <r>
    <n v="52763"/>
    <s v="Emp 665"/>
    <s v="29301251357049"/>
    <x v="9"/>
    <x v="1"/>
    <d v="1993-01-25T00:00:00"/>
    <n v="33.047222222222224"/>
    <x v="1"/>
    <x v="1"/>
    <x v="4"/>
    <s v="Sharqia"/>
    <d v="2024-04-06T00:00:00"/>
    <n v="1.85"/>
    <n v="6038"/>
    <x v="10"/>
    <x v="0"/>
  </r>
  <r>
    <n v="57030"/>
    <s v="Emp 666"/>
    <s v="28509112170956"/>
    <x v="9"/>
    <x v="0"/>
    <d v="1985-09-11T00:00:00"/>
    <n v="40.419444444444444"/>
    <x v="0"/>
    <x v="0"/>
    <x v="0"/>
    <s v="Giza"/>
    <d v="2024-04-07T00:00:00"/>
    <n v="1.8472222222222223"/>
    <n v="22692"/>
    <x v="10"/>
    <x v="0"/>
  </r>
  <r>
    <n v="53249"/>
    <s v="Emp 667"/>
    <s v="29406030275037"/>
    <x v="2"/>
    <x v="0"/>
    <d v="1994-06-03T00:00:00"/>
    <n v="31.691666666666666"/>
    <x v="0"/>
    <x v="1"/>
    <x v="0"/>
    <s v="Alexandria"/>
    <d v="2024-04-08T00:00:00"/>
    <n v="1.8444444444444446"/>
    <n v="6767"/>
    <x v="10"/>
    <x v="0"/>
  </r>
  <r>
    <n v="52374"/>
    <s v="Emp 668"/>
    <s v="30311251988533"/>
    <x v="7"/>
    <x v="0"/>
    <d v="2003-11-25T00:00:00"/>
    <n v="22.213888888888889"/>
    <x v="0"/>
    <x v="1"/>
    <x v="2"/>
    <s v="Ismailia"/>
    <d v="2024-04-09T00:00:00"/>
    <n v="1.8416666666666666"/>
    <n v="4677"/>
    <x v="10"/>
    <x v="1"/>
  </r>
  <r>
    <n v="54188"/>
    <s v="Emp 669"/>
    <s v="30207151757782"/>
    <x v="4"/>
    <x v="1"/>
    <d v="2002-07-15T00:00:00"/>
    <n v="23.574999999999999"/>
    <x v="1"/>
    <x v="1"/>
    <x v="0"/>
    <s v="Monufia"/>
    <d v="2024-04-10T00:00:00"/>
    <n v="1.8388888888888888"/>
    <n v="4211"/>
    <x v="10"/>
    <x v="1"/>
  </r>
  <r>
    <n v="54027"/>
    <s v="Emp 670"/>
    <s v="29502120288123"/>
    <x v="4"/>
    <x v="1"/>
    <d v="1995-02-12T00:00:00"/>
    <n v="31"/>
    <x v="1"/>
    <x v="2"/>
    <x v="0"/>
    <s v="Alexandria"/>
    <d v="2024-04-11T00:00:00"/>
    <n v="1.836111111111111"/>
    <n v="14570"/>
    <x v="10"/>
    <x v="0"/>
  </r>
  <r>
    <n v="50576"/>
    <s v="Emp 671"/>
    <s v="28402262186476"/>
    <x v="4"/>
    <x v="0"/>
    <d v="1984-02-26T00:00:00"/>
    <n v="41.961111111111109"/>
    <x v="0"/>
    <x v="1"/>
    <x v="4"/>
    <s v="Giza"/>
    <d v="2024-04-12T00:00:00"/>
    <n v="1.8333333333333333"/>
    <n v="4392"/>
    <x v="10"/>
    <x v="1"/>
  </r>
  <r>
    <n v="58176"/>
    <s v="Emp 672"/>
    <s v="29304252182993"/>
    <x v="4"/>
    <x v="0"/>
    <d v="1993-04-25T00:00:00"/>
    <n v="32.797222222222224"/>
    <x v="1"/>
    <x v="1"/>
    <x v="2"/>
    <s v="Giza"/>
    <d v="2024-04-13T00:00:00"/>
    <n v="1.8305555555555555"/>
    <n v="6286"/>
    <x v="10"/>
    <x v="0"/>
  </r>
  <r>
    <n v="52718"/>
    <s v="Emp 673"/>
    <s v="29403120266931"/>
    <x v="4"/>
    <x v="0"/>
    <d v="1994-03-12T00:00:00"/>
    <n v="31.916666666666668"/>
    <x v="0"/>
    <x v="1"/>
    <x v="3"/>
    <s v="Alexandria"/>
    <d v="2024-04-14T00:00:00"/>
    <n v="1.8277777777777777"/>
    <n v="4535"/>
    <x v="10"/>
    <x v="1"/>
  </r>
  <r>
    <n v="59406"/>
    <s v="Emp 674"/>
    <s v="28908032183062"/>
    <x v="8"/>
    <x v="1"/>
    <d v="1989-08-03T00:00:00"/>
    <n v="36.524999999999999"/>
    <x v="1"/>
    <x v="0"/>
    <x v="1"/>
    <s v="Giza"/>
    <d v="2024-04-15T00:00:00"/>
    <n v="1.825"/>
    <n v="29539"/>
    <x v="10"/>
    <x v="0"/>
  </r>
  <r>
    <n v="59126"/>
    <s v="Emp 675"/>
    <s v="28307021760157"/>
    <x v="7"/>
    <x v="0"/>
    <d v="1983-07-02T00:00:00"/>
    <n v="42.611111111111114"/>
    <x v="0"/>
    <x v="1"/>
    <x v="4"/>
    <s v="Monufia"/>
    <d v="2024-04-16T00:00:00"/>
    <n v="1.8222222222222222"/>
    <n v="3162"/>
    <x v="10"/>
    <x v="1"/>
  </r>
  <r>
    <n v="52778"/>
    <s v="Emp 676"/>
    <s v="30312161751942"/>
    <x v="9"/>
    <x v="1"/>
    <d v="2003-12-16T00:00:00"/>
    <n v="22.155555555555555"/>
    <x v="1"/>
    <x v="1"/>
    <x v="3"/>
    <s v="Monufia"/>
    <d v="2024-04-17T00:00:00"/>
    <n v="1.8194444444444444"/>
    <n v="5843"/>
    <x v="10"/>
    <x v="1"/>
  </r>
  <r>
    <n v="58305"/>
    <s v="Emp 677"/>
    <s v="28503251959189"/>
    <x v="5"/>
    <x v="1"/>
    <d v="1985-03-25T00:00:00"/>
    <n v="40.880555555555553"/>
    <x v="1"/>
    <x v="1"/>
    <x v="1"/>
    <s v="Ismailia"/>
    <d v="2024-04-18T00:00:00"/>
    <n v="1.8166666666666667"/>
    <n v="5990"/>
    <x v="10"/>
    <x v="0"/>
  </r>
  <r>
    <n v="53541"/>
    <s v="Emp 678"/>
    <s v="28910271785091"/>
    <x v="3"/>
    <x v="0"/>
    <d v="1989-10-27T00:00:00"/>
    <n v="36.291666666666664"/>
    <x v="1"/>
    <x v="1"/>
    <x v="1"/>
    <s v="Monufia"/>
    <d v="2024-04-19T00:00:00"/>
    <n v="1.8138888888888889"/>
    <n v="4556"/>
    <x v="10"/>
    <x v="1"/>
  </r>
  <r>
    <n v="57138"/>
    <s v="Emp 679"/>
    <s v="29405232185341"/>
    <x v="4"/>
    <x v="1"/>
    <d v="1994-05-23T00:00:00"/>
    <n v="31.719444444444445"/>
    <x v="0"/>
    <x v="1"/>
    <x v="1"/>
    <s v="Giza"/>
    <d v="2024-04-20T00:00:00"/>
    <n v="1.8111111111111111"/>
    <n v="4154"/>
    <x v="10"/>
    <x v="1"/>
  </r>
  <r>
    <n v="51337"/>
    <s v="Emp 680"/>
    <s v="29106241953094"/>
    <x v="0"/>
    <x v="0"/>
    <d v="1991-06-24T00:00:00"/>
    <n v="34.633333333333333"/>
    <x v="1"/>
    <x v="0"/>
    <x v="1"/>
    <s v="Ismailia"/>
    <d v="2024-04-21T00:00:00"/>
    <n v="1.8083333333333333"/>
    <n v="28431"/>
    <x v="10"/>
    <x v="0"/>
  </r>
  <r>
    <n v="58343"/>
    <s v="Emp 681"/>
    <s v="30208200256158"/>
    <x v="6"/>
    <x v="0"/>
    <d v="2002-08-20T00:00:00"/>
    <n v="23.477777777777778"/>
    <x v="0"/>
    <x v="1"/>
    <x v="1"/>
    <s v="Alexandria"/>
    <d v="2024-04-22T00:00:00"/>
    <n v="1.8055555555555556"/>
    <n v="5341"/>
    <x v="10"/>
    <x v="1"/>
  </r>
  <r>
    <n v="55783"/>
    <s v="Emp 682"/>
    <s v="28808161369749"/>
    <x v="9"/>
    <x v="1"/>
    <d v="1988-08-16T00:00:00"/>
    <n v="37.488888888888887"/>
    <x v="0"/>
    <x v="2"/>
    <x v="0"/>
    <s v="Sharqia"/>
    <d v="2024-04-23T00:00:00"/>
    <n v="1.8027777777777778"/>
    <n v="12685"/>
    <x v="10"/>
    <x v="0"/>
  </r>
  <r>
    <n v="53158"/>
    <s v="Emp 683"/>
    <s v="29806010279541"/>
    <x v="8"/>
    <x v="1"/>
    <d v="1998-06-01T00:00:00"/>
    <n v="27.697222222222223"/>
    <x v="0"/>
    <x v="1"/>
    <x v="2"/>
    <s v="Alexandria"/>
    <d v="2024-04-24T00:00:00"/>
    <n v="1.8"/>
    <n v="5785"/>
    <x v="10"/>
    <x v="1"/>
  </r>
  <r>
    <n v="51472"/>
    <s v="Emp 684"/>
    <s v="28206010278017"/>
    <x v="0"/>
    <x v="0"/>
    <d v="1982-06-01T00:00:00"/>
    <n v="43.697222222222223"/>
    <x v="1"/>
    <x v="1"/>
    <x v="0"/>
    <s v="Alexandria"/>
    <d v="2024-04-25T00:00:00"/>
    <n v="1.7972222222222223"/>
    <n v="3371"/>
    <x v="10"/>
    <x v="1"/>
  </r>
  <r>
    <n v="52786"/>
    <s v="Emp 685"/>
    <s v="29812182190154"/>
    <x v="0"/>
    <x v="0"/>
    <d v="1998-12-18T00:00:00"/>
    <n v="27.15"/>
    <x v="1"/>
    <x v="0"/>
    <x v="2"/>
    <s v="Giza"/>
    <d v="2024-04-26T00:00:00"/>
    <n v="1.7944444444444445"/>
    <n v="17109"/>
    <x v="10"/>
    <x v="0"/>
  </r>
  <r>
    <n v="55052"/>
    <s v="Emp 686"/>
    <s v="29003281378057"/>
    <x v="3"/>
    <x v="0"/>
    <d v="1990-03-28T00:00:00"/>
    <n v="35.87222222222222"/>
    <x v="1"/>
    <x v="1"/>
    <x v="3"/>
    <s v="Sharqia"/>
    <d v="2024-04-27T00:00:00"/>
    <n v="1.7916666666666667"/>
    <n v="3087"/>
    <x v="10"/>
    <x v="1"/>
  </r>
  <r>
    <n v="52277"/>
    <s v="Emp 687"/>
    <s v="29307040286229"/>
    <x v="7"/>
    <x v="1"/>
    <d v="1993-07-04T00:00:00"/>
    <n v="32.605555555555554"/>
    <x v="0"/>
    <x v="0"/>
    <x v="0"/>
    <s v="Alexandria"/>
    <d v="2024-04-28T00:00:00"/>
    <n v="1.788888888888889"/>
    <n v="15284"/>
    <x v="10"/>
    <x v="0"/>
  </r>
  <r>
    <n v="51886"/>
    <s v="Emp 688"/>
    <s v="29302281986581"/>
    <x v="4"/>
    <x v="1"/>
    <d v="1993-02-28T00:00:00"/>
    <n v="32.950000000000003"/>
    <x v="1"/>
    <x v="1"/>
    <x v="1"/>
    <s v="Ismailia"/>
    <d v="2024-04-29T00:00:00"/>
    <n v="1.7861111111111112"/>
    <n v="3956"/>
    <x v="10"/>
    <x v="1"/>
  </r>
  <r>
    <n v="53677"/>
    <s v="Emp 689"/>
    <s v="29406211368558"/>
    <x v="8"/>
    <x v="0"/>
    <d v="1994-06-21T00:00:00"/>
    <n v="31.641666666666666"/>
    <x v="1"/>
    <x v="1"/>
    <x v="3"/>
    <s v="Sharqia"/>
    <d v="2024-04-30T00:00:00"/>
    <n v="1.7833333333333334"/>
    <n v="3770"/>
    <x v="10"/>
    <x v="1"/>
  </r>
  <r>
    <n v="56343"/>
    <s v="Emp 690"/>
    <s v="28712111361965"/>
    <x v="5"/>
    <x v="1"/>
    <d v="1987-12-11T00:00:00"/>
    <n v="38.169444444444444"/>
    <x v="1"/>
    <x v="1"/>
    <x v="2"/>
    <s v="Sharqia"/>
    <d v="2024-05-01T00:00:00"/>
    <n v="1.7805555555555554"/>
    <n v="3353"/>
    <x v="11"/>
    <x v="1"/>
  </r>
  <r>
    <n v="59282"/>
    <s v="Emp 691"/>
    <s v="29201161363165"/>
    <x v="9"/>
    <x v="1"/>
    <d v="1992-01-16T00:00:00"/>
    <n v="34.072222222222223"/>
    <x v="1"/>
    <x v="1"/>
    <x v="0"/>
    <s v="Sharqia"/>
    <d v="2024-05-02T00:00:00"/>
    <n v="1.7777777777777777"/>
    <n v="3287"/>
    <x v="11"/>
    <x v="1"/>
  </r>
  <r>
    <n v="59522"/>
    <s v="Emp 692"/>
    <s v="28811011763493"/>
    <x v="4"/>
    <x v="0"/>
    <d v="1988-11-01T00:00:00"/>
    <n v="37.280555555555559"/>
    <x v="1"/>
    <x v="1"/>
    <x v="4"/>
    <s v="Monufia"/>
    <d v="2024-05-03T00:00:00"/>
    <n v="1.7749999999999999"/>
    <n v="3961"/>
    <x v="11"/>
    <x v="1"/>
  </r>
  <r>
    <n v="52393"/>
    <s v="Emp 693"/>
    <s v="28305081356348"/>
    <x v="8"/>
    <x v="1"/>
    <d v="1983-05-08T00:00:00"/>
    <n v="42.761111111111113"/>
    <x v="1"/>
    <x v="2"/>
    <x v="1"/>
    <s v="Sharqia"/>
    <d v="2024-05-04T00:00:00"/>
    <n v="1.7722222222222221"/>
    <n v="11611"/>
    <x v="11"/>
    <x v="0"/>
  </r>
  <r>
    <n v="58890"/>
    <s v="Emp 694"/>
    <s v="30109152151564"/>
    <x v="6"/>
    <x v="1"/>
    <d v="2001-09-15T00:00:00"/>
    <n v="24.408333333333335"/>
    <x v="0"/>
    <x v="1"/>
    <x v="1"/>
    <s v="Giza"/>
    <d v="2024-05-05T00:00:00"/>
    <n v="1.7694444444444444"/>
    <n v="4795"/>
    <x v="11"/>
    <x v="1"/>
  </r>
  <r>
    <n v="58993"/>
    <s v="Emp 695"/>
    <s v="28602231384615"/>
    <x v="7"/>
    <x v="0"/>
    <d v="1986-02-23T00:00:00"/>
    <n v="39.969444444444441"/>
    <x v="0"/>
    <x v="1"/>
    <x v="3"/>
    <s v="Sharqia"/>
    <d v="2024-05-06T00:00:00"/>
    <n v="1.7666666666666666"/>
    <n v="6002"/>
    <x v="11"/>
    <x v="0"/>
  </r>
  <r>
    <n v="51810"/>
    <s v="Emp 696"/>
    <s v="30108031975475"/>
    <x v="4"/>
    <x v="0"/>
    <d v="2001-08-03T00:00:00"/>
    <n v="24.524999999999999"/>
    <x v="1"/>
    <x v="1"/>
    <x v="3"/>
    <s v="Ismailia"/>
    <d v="2024-05-07T00:00:00"/>
    <n v="1.7638888888888888"/>
    <n v="4655"/>
    <x v="11"/>
    <x v="1"/>
  </r>
  <r>
    <n v="59241"/>
    <s v="Emp 697"/>
    <s v="28503181382794"/>
    <x v="4"/>
    <x v="0"/>
    <d v="1985-03-18T00:00:00"/>
    <n v="40.9"/>
    <x v="0"/>
    <x v="1"/>
    <x v="2"/>
    <s v="Sharqia"/>
    <d v="2024-05-08T00:00:00"/>
    <n v="1.7611111111111111"/>
    <n v="3949"/>
    <x v="11"/>
    <x v="1"/>
  </r>
  <r>
    <n v="57846"/>
    <s v="Emp 698"/>
    <s v="29507191751781"/>
    <x v="4"/>
    <x v="1"/>
    <d v="1995-07-19T00:00:00"/>
    <n v="30.56388888888889"/>
    <x v="1"/>
    <x v="1"/>
    <x v="0"/>
    <s v="Monufia"/>
    <d v="2024-05-09T00:00:00"/>
    <n v="1.7583333333333333"/>
    <n v="5823"/>
    <x v="11"/>
    <x v="1"/>
  </r>
  <r>
    <n v="52101"/>
    <s v="Emp 699"/>
    <s v="28210101766421"/>
    <x v="0"/>
    <x v="1"/>
    <d v="1982-10-10T00:00:00"/>
    <n v="43.338888888888889"/>
    <x v="0"/>
    <x v="2"/>
    <x v="0"/>
    <s v="Monufia"/>
    <d v="2024-05-10T00:00:00"/>
    <n v="1.7555555555555555"/>
    <n v="13275"/>
    <x v="11"/>
    <x v="0"/>
  </r>
  <r>
    <n v="51586"/>
    <s v="Emp 700"/>
    <s v="29107202180529"/>
    <x v="0"/>
    <x v="1"/>
    <d v="1991-07-20T00:00:00"/>
    <n v="34.56111111111111"/>
    <x v="0"/>
    <x v="1"/>
    <x v="1"/>
    <s v="Giza"/>
    <d v="2024-05-11T00:00:00"/>
    <n v="1.7527777777777778"/>
    <n v="3282"/>
    <x v="11"/>
    <x v="1"/>
  </r>
  <r>
    <n v="58381"/>
    <s v="Emp 701"/>
    <s v="28311141370772"/>
    <x v="5"/>
    <x v="0"/>
    <d v="1983-11-14T00:00:00"/>
    <n v="42.244444444444447"/>
    <x v="0"/>
    <x v="1"/>
    <x v="1"/>
    <s v="Sharqia"/>
    <d v="2024-05-12T00:00:00"/>
    <n v="1.75"/>
    <n v="5900"/>
    <x v="11"/>
    <x v="1"/>
  </r>
  <r>
    <n v="50962"/>
    <s v="Emp 702"/>
    <s v="28710162172917"/>
    <x v="6"/>
    <x v="0"/>
    <d v="1987-10-16T00:00:00"/>
    <n v="38.322222222222223"/>
    <x v="0"/>
    <x v="1"/>
    <x v="0"/>
    <s v="Giza"/>
    <d v="2024-05-13T00:00:00"/>
    <n v="1.7472222222222222"/>
    <n v="3202"/>
    <x v="11"/>
    <x v="1"/>
  </r>
  <r>
    <n v="57239"/>
    <s v="Emp 703"/>
    <s v="28905200275281"/>
    <x v="9"/>
    <x v="1"/>
    <d v="1989-05-20T00:00:00"/>
    <n v="36.727777777777774"/>
    <x v="0"/>
    <x v="1"/>
    <x v="4"/>
    <s v="Alexandria"/>
    <d v="2024-05-14T00:00:00"/>
    <n v="1.7444444444444445"/>
    <n v="4962"/>
    <x v="11"/>
    <x v="1"/>
  </r>
  <r>
    <n v="56374"/>
    <s v="Emp 704"/>
    <s v="28206161373716"/>
    <x v="3"/>
    <x v="0"/>
    <d v="1982-06-16T00:00:00"/>
    <n v="43.655555555555559"/>
    <x v="1"/>
    <x v="2"/>
    <x v="1"/>
    <s v="Sharqia"/>
    <d v="2024-05-15T00:00:00"/>
    <n v="1.7416666666666667"/>
    <n v="12709"/>
    <x v="11"/>
    <x v="0"/>
  </r>
  <r>
    <n v="55283"/>
    <s v="Emp 705"/>
    <s v="29204071369327"/>
    <x v="7"/>
    <x v="1"/>
    <d v="1992-04-07T00:00:00"/>
    <n v="33.847222222222221"/>
    <x v="0"/>
    <x v="1"/>
    <x v="3"/>
    <s v="Sharqia"/>
    <d v="2024-05-16T00:00:00"/>
    <n v="1.7388888888888889"/>
    <n v="4311"/>
    <x v="11"/>
    <x v="1"/>
  </r>
  <r>
    <n v="55663"/>
    <s v="Emp 706"/>
    <s v="29509220277324"/>
    <x v="0"/>
    <x v="1"/>
    <d v="1995-09-22T00:00:00"/>
    <n v="30.388888888888889"/>
    <x v="0"/>
    <x v="2"/>
    <x v="0"/>
    <s v="Alexandria"/>
    <d v="2024-05-17T00:00:00"/>
    <n v="1.7361111111111112"/>
    <n v="14197"/>
    <x v="11"/>
    <x v="0"/>
  </r>
  <r>
    <n v="51615"/>
    <s v="Emp 707"/>
    <s v="30311162174463"/>
    <x v="4"/>
    <x v="1"/>
    <d v="2003-11-16T00:00:00"/>
    <n v="22.238888888888887"/>
    <x v="0"/>
    <x v="0"/>
    <x v="3"/>
    <s v="Giza"/>
    <d v="2024-05-18T00:00:00"/>
    <n v="1.7333333333333334"/>
    <n v="21147"/>
    <x v="11"/>
    <x v="0"/>
  </r>
  <r>
    <n v="59849"/>
    <s v="Emp 708"/>
    <s v="29608171768279"/>
    <x v="0"/>
    <x v="0"/>
    <d v="1996-08-17T00:00:00"/>
    <n v="29.486111111111111"/>
    <x v="0"/>
    <x v="1"/>
    <x v="0"/>
    <s v="Monufia"/>
    <d v="2024-05-19T00:00:00"/>
    <n v="1.7305555555555556"/>
    <n v="6905"/>
    <x v="11"/>
    <x v="0"/>
  </r>
  <r>
    <n v="53653"/>
    <s v="Emp 709"/>
    <s v="29902121979343"/>
    <x v="6"/>
    <x v="1"/>
    <d v="1999-02-12T00:00:00"/>
    <n v="27"/>
    <x v="1"/>
    <x v="1"/>
    <x v="1"/>
    <s v="Ismailia"/>
    <d v="2024-05-20T00:00:00"/>
    <n v="1.7277777777777779"/>
    <n v="4042"/>
    <x v="11"/>
    <x v="1"/>
  </r>
  <r>
    <n v="51004"/>
    <s v="Emp 710"/>
    <s v="28707250260827"/>
    <x v="8"/>
    <x v="1"/>
    <d v="1987-07-25T00:00:00"/>
    <n v="38.547222222222224"/>
    <x v="1"/>
    <x v="1"/>
    <x v="0"/>
    <s v="Alexandria"/>
    <d v="2024-05-21T00:00:00"/>
    <n v="1.7250000000000001"/>
    <n v="3525"/>
    <x v="11"/>
    <x v="1"/>
  </r>
  <r>
    <n v="50994"/>
    <s v="Emp 711"/>
    <s v="29501281762031"/>
    <x v="4"/>
    <x v="0"/>
    <d v="1995-01-28T00:00:00"/>
    <n v="31.038888888888888"/>
    <x v="1"/>
    <x v="1"/>
    <x v="4"/>
    <s v="Monufia"/>
    <d v="2024-05-22T00:00:00"/>
    <n v="1.7222222222222223"/>
    <n v="3281"/>
    <x v="11"/>
    <x v="1"/>
  </r>
  <r>
    <n v="58901"/>
    <s v="Emp 712"/>
    <s v="29208021372414"/>
    <x v="6"/>
    <x v="0"/>
    <d v="1992-08-02T00:00:00"/>
    <n v="33.527777777777779"/>
    <x v="0"/>
    <x v="1"/>
    <x v="0"/>
    <s v="Sharqia"/>
    <d v="2024-05-23T00:00:00"/>
    <n v="1.7194444444444446"/>
    <n v="6024"/>
    <x v="11"/>
    <x v="0"/>
  </r>
  <r>
    <n v="51002"/>
    <s v="Emp 713"/>
    <s v="28601091371363"/>
    <x v="2"/>
    <x v="1"/>
    <d v="1986-01-09T00:00:00"/>
    <n v="40.091666666666669"/>
    <x v="0"/>
    <x v="1"/>
    <x v="4"/>
    <s v="Sharqia"/>
    <d v="2024-05-24T00:00:00"/>
    <n v="1.7166666666666666"/>
    <n v="5070"/>
    <x v="11"/>
    <x v="1"/>
  </r>
  <r>
    <n v="56242"/>
    <s v="Emp 714"/>
    <s v="29407201382112"/>
    <x v="3"/>
    <x v="0"/>
    <d v="1994-07-20T00:00:00"/>
    <n v="31.56111111111111"/>
    <x v="0"/>
    <x v="1"/>
    <x v="1"/>
    <s v="Sharqia"/>
    <d v="2024-05-25T00:00:00"/>
    <n v="1.7138888888888888"/>
    <n v="5631"/>
    <x v="11"/>
    <x v="1"/>
  </r>
  <r>
    <n v="56512"/>
    <s v="Emp 715"/>
    <s v="28208161767489"/>
    <x v="3"/>
    <x v="1"/>
    <d v="1982-08-16T00:00:00"/>
    <n v="43.488888888888887"/>
    <x v="1"/>
    <x v="2"/>
    <x v="1"/>
    <s v="Monufia"/>
    <d v="2024-05-26T00:00:00"/>
    <n v="1.711111111111111"/>
    <n v="11151"/>
    <x v="11"/>
    <x v="0"/>
  </r>
  <r>
    <n v="53231"/>
    <s v="Emp 716"/>
    <s v="28610140265466"/>
    <x v="0"/>
    <x v="1"/>
    <d v="1986-10-14T00:00:00"/>
    <n v="39.327777777777776"/>
    <x v="0"/>
    <x v="1"/>
    <x v="0"/>
    <s v="Alexandria"/>
    <d v="2024-05-27T00:00:00"/>
    <n v="1.7083333333333333"/>
    <n v="4751"/>
    <x v="11"/>
    <x v="1"/>
  </r>
  <r>
    <n v="55312"/>
    <s v="Emp 717"/>
    <s v="28901281767654"/>
    <x v="2"/>
    <x v="0"/>
    <d v="1989-01-28T00:00:00"/>
    <n v="37.038888888888891"/>
    <x v="1"/>
    <x v="1"/>
    <x v="3"/>
    <s v="Monufia"/>
    <d v="2024-05-28T00:00:00"/>
    <n v="1.7055555555555555"/>
    <n v="6757"/>
    <x v="11"/>
    <x v="0"/>
  </r>
  <r>
    <n v="55201"/>
    <s v="Emp 718"/>
    <s v="29901231351586"/>
    <x v="9"/>
    <x v="1"/>
    <d v="1999-01-23T00:00:00"/>
    <n v="27.052777777777777"/>
    <x v="0"/>
    <x v="0"/>
    <x v="3"/>
    <s v="Sharqia"/>
    <d v="2024-05-29T00:00:00"/>
    <n v="1.7027777777777777"/>
    <n v="18226"/>
    <x v="11"/>
    <x v="0"/>
  </r>
  <r>
    <n v="50955"/>
    <s v="Emp 719"/>
    <s v="28705170264533"/>
    <x v="2"/>
    <x v="0"/>
    <d v="1987-05-17T00:00:00"/>
    <n v="38.736111111111114"/>
    <x v="0"/>
    <x v="1"/>
    <x v="3"/>
    <s v="Alexandria"/>
    <d v="2024-05-30T00:00:00"/>
    <n v="1.7"/>
    <n v="5883"/>
    <x v="11"/>
    <x v="1"/>
  </r>
  <r>
    <n v="53268"/>
    <s v="Emp 720"/>
    <s v="29008081972225"/>
    <x v="3"/>
    <x v="1"/>
    <d v="1990-08-08T00:00:00"/>
    <n v="35.511111111111113"/>
    <x v="0"/>
    <x v="1"/>
    <x v="4"/>
    <s v="Ismailia"/>
    <d v="2024-05-31T00:00:00"/>
    <n v="1.7"/>
    <n v="6212"/>
    <x v="11"/>
    <x v="0"/>
  </r>
  <r>
    <n v="56466"/>
    <s v="Emp 721"/>
    <s v="30207261960874"/>
    <x v="8"/>
    <x v="0"/>
    <d v="2002-07-26T00:00:00"/>
    <n v="23.544444444444444"/>
    <x v="1"/>
    <x v="0"/>
    <x v="2"/>
    <s v="Ismailia"/>
    <d v="2024-06-01T00:00:00"/>
    <n v="1.6972222222222222"/>
    <n v="15602"/>
    <x v="0"/>
    <x v="0"/>
  </r>
  <r>
    <n v="59014"/>
    <s v="Emp 722"/>
    <s v="29708051365484"/>
    <x v="3"/>
    <x v="1"/>
    <d v="1997-08-05T00:00:00"/>
    <n v="28.519444444444446"/>
    <x v="1"/>
    <x v="1"/>
    <x v="0"/>
    <s v="Sharqia"/>
    <d v="2024-06-02T00:00:00"/>
    <n v="1.6944444444444444"/>
    <n v="3126"/>
    <x v="0"/>
    <x v="1"/>
  </r>
  <r>
    <n v="50554"/>
    <s v="Emp 723"/>
    <s v="30004062182316"/>
    <x v="7"/>
    <x v="0"/>
    <d v="2000-04-06T00:00:00"/>
    <n v="25.85"/>
    <x v="0"/>
    <x v="1"/>
    <x v="4"/>
    <s v="Giza"/>
    <d v="2024-06-03T00:00:00"/>
    <n v="1.6916666666666667"/>
    <n v="6415"/>
    <x v="0"/>
    <x v="0"/>
  </r>
  <r>
    <n v="53050"/>
    <s v="Emp 724"/>
    <s v="30102090274383"/>
    <x v="3"/>
    <x v="1"/>
    <d v="2001-02-09T00:00:00"/>
    <n v="25.008333333333333"/>
    <x v="1"/>
    <x v="1"/>
    <x v="1"/>
    <s v="Alexandria"/>
    <d v="2024-06-04T00:00:00"/>
    <n v="1.6888888888888889"/>
    <n v="3233"/>
    <x v="0"/>
    <x v="1"/>
  </r>
  <r>
    <n v="50794"/>
    <s v="Emp 725"/>
    <s v="30003052177825"/>
    <x v="5"/>
    <x v="1"/>
    <d v="2000-03-05T00:00:00"/>
    <n v="25.93611111111111"/>
    <x v="1"/>
    <x v="0"/>
    <x v="3"/>
    <s v="Giza"/>
    <d v="2024-06-05T00:00:00"/>
    <n v="1.6861111111111111"/>
    <n v="18130"/>
    <x v="0"/>
    <x v="0"/>
  </r>
  <r>
    <n v="58435"/>
    <s v="Emp 726"/>
    <s v="28202041986449"/>
    <x v="2"/>
    <x v="1"/>
    <d v="1982-02-04T00:00:00"/>
    <n v="44.022222222222226"/>
    <x v="0"/>
    <x v="1"/>
    <x v="3"/>
    <s v="Ismailia"/>
    <d v="2024-06-06T00:00:00"/>
    <n v="1.6833333333333333"/>
    <n v="4090"/>
    <x v="0"/>
    <x v="1"/>
  </r>
  <r>
    <n v="56690"/>
    <s v="Emp 727"/>
    <s v="28803081375961"/>
    <x v="2"/>
    <x v="1"/>
    <d v="1988-03-08T00:00:00"/>
    <n v="37.927777777777777"/>
    <x v="1"/>
    <x v="1"/>
    <x v="4"/>
    <s v="Sharqia"/>
    <d v="2024-06-07T00:00:00"/>
    <n v="1.6805555555555556"/>
    <n v="5791"/>
    <x v="0"/>
    <x v="1"/>
  </r>
  <r>
    <n v="59555"/>
    <s v="Emp 728"/>
    <s v="28208231984256"/>
    <x v="4"/>
    <x v="0"/>
    <d v="1982-08-23T00:00:00"/>
    <n v="43.469444444444441"/>
    <x v="0"/>
    <x v="1"/>
    <x v="0"/>
    <s v="Ismailia"/>
    <d v="2024-06-08T00:00:00"/>
    <n v="1.6777777777777778"/>
    <n v="4480"/>
    <x v="0"/>
    <x v="1"/>
  </r>
  <r>
    <n v="50593"/>
    <s v="Emp 729"/>
    <s v="28906080288371"/>
    <x v="5"/>
    <x v="0"/>
    <d v="1989-06-08T00:00:00"/>
    <n v="36.677777777777777"/>
    <x v="0"/>
    <x v="2"/>
    <x v="4"/>
    <s v="Alexandria"/>
    <d v="2024-06-09T00:00:00"/>
    <n v="1.675"/>
    <n v="12725"/>
    <x v="0"/>
    <x v="0"/>
  </r>
  <r>
    <n v="54708"/>
    <s v="Emp 730"/>
    <s v="28301111984898"/>
    <x v="9"/>
    <x v="0"/>
    <d v="1983-01-11T00:00:00"/>
    <n v="43.086111111111109"/>
    <x v="1"/>
    <x v="2"/>
    <x v="1"/>
    <s v="Ismailia"/>
    <d v="2024-06-10T00:00:00"/>
    <n v="1.6722222222222223"/>
    <n v="14541"/>
    <x v="0"/>
    <x v="0"/>
  </r>
  <r>
    <n v="54337"/>
    <s v="Emp 731"/>
    <s v="29506261791576"/>
    <x v="0"/>
    <x v="0"/>
    <d v="1995-06-26T00:00:00"/>
    <n v="30.627777777777776"/>
    <x v="1"/>
    <x v="1"/>
    <x v="3"/>
    <s v="Monufia"/>
    <d v="2024-06-11T00:00:00"/>
    <n v="1.6694444444444445"/>
    <n v="6109"/>
    <x v="0"/>
    <x v="0"/>
  </r>
  <r>
    <n v="59553"/>
    <s v="Emp 732"/>
    <s v="29306030188443"/>
    <x v="6"/>
    <x v="1"/>
    <d v="1993-06-03T00:00:00"/>
    <n v="32.69166666666667"/>
    <x v="0"/>
    <x v="2"/>
    <x v="3"/>
    <s v="Cairo"/>
    <d v="2024-06-12T00:00:00"/>
    <n v="1.6666666666666667"/>
    <n v="13973"/>
    <x v="0"/>
    <x v="0"/>
  </r>
  <r>
    <n v="53903"/>
    <s v="Emp 733"/>
    <s v="30205180267477"/>
    <x v="9"/>
    <x v="0"/>
    <d v="2002-05-18T00:00:00"/>
    <n v="23.733333333333334"/>
    <x v="1"/>
    <x v="1"/>
    <x v="2"/>
    <s v="Alexandria"/>
    <d v="2024-06-13T00:00:00"/>
    <n v="1.663888888888889"/>
    <n v="6570"/>
    <x v="0"/>
    <x v="0"/>
  </r>
  <r>
    <n v="51252"/>
    <s v="Emp 734"/>
    <s v="28404141763631"/>
    <x v="4"/>
    <x v="0"/>
    <d v="1984-04-14T00:00:00"/>
    <n v="41.827777777777776"/>
    <x v="1"/>
    <x v="1"/>
    <x v="4"/>
    <s v="Monufia"/>
    <d v="2024-06-14T00:00:00"/>
    <n v="1.6611111111111112"/>
    <n v="3030"/>
    <x v="0"/>
    <x v="1"/>
  </r>
  <r>
    <n v="58326"/>
    <s v="Emp 735"/>
    <s v="29001270290141"/>
    <x v="7"/>
    <x v="1"/>
    <d v="1990-01-27T00:00:00"/>
    <n v="36.041666666666664"/>
    <x v="0"/>
    <x v="1"/>
    <x v="3"/>
    <s v="Alexandria"/>
    <d v="2024-06-15T00:00:00"/>
    <n v="1.6583333333333334"/>
    <n v="6606"/>
    <x v="0"/>
    <x v="0"/>
  </r>
  <r>
    <n v="57464"/>
    <s v="Emp 736"/>
    <s v="29506171964569"/>
    <x v="6"/>
    <x v="1"/>
    <d v="1995-06-17T00:00:00"/>
    <n v="30.652777777777779"/>
    <x v="1"/>
    <x v="2"/>
    <x v="2"/>
    <s v="Ismailia"/>
    <d v="2024-06-16T00:00:00"/>
    <n v="1.6555555555555554"/>
    <n v="11602"/>
    <x v="0"/>
    <x v="0"/>
  </r>
  <r>
    <n v="51251"/>
    <s v="Emp 737"/>
    <s v="28703091766564"/>
    <x v="4"/>
    <x v="1"/>
    <d v="1987-03-09T00:00:00"/>
    <n v="38.924999999999997"/>
    <x v="0"/>
    <x v="1"/>
    <x v="3"/>
    <s v="Monufia"/>
    <d v="2024-06-17T00:00:00"/>
    <n v="1.6527777777777777"/>
    <n v="5466"/>
    <x v="0"/>
    <x v="1"/>
  </r>
  <r>
    <n v="56005"/>
    <s v="Emp 738"/>
    <s v="29704250179627"/>
    <x v="3"/>
    <x v="1"/>
    <d v="1997-04-25T00:00:00"/>
    <n v="28.797222222222221"/>
    <x v="1"/>
    <x v="1"/>
    <x v="3"/>
    <s v="Cairo"/>
    <d v="2024-06-18T00:00:00"/>
    <n v="1.65"/>
    <n v="3064"/>
    <x v="0"/>
    <x v="1"/>
  </r>
  <r>
    <n v="59486"/>
    <s v="Emp 739"/>
    <s v="28206170153023"/>
    <x v="3"/>
    <x v="1"/>
    <d v="1982-06-17T00:00:00"/>
    <n v="43.652777777777779"/>
    <x v="1"/>
    <x v="2"/>
    <x v="1"/>
    <s v="Cairo"/>
    <d v="2024-06-19T00:00:00"/>
    <n v="1.6472222222222221"/>
    <n v="13947"/>
    <x v="0"/>
    <x v="0"/>
  </r>
  <r>
    <n v="55710"/>
    <s v="Emp 740"/>
    <s v="30311251380345"/>
    <x v="5"/>
    <x v="1"/>
    <d v="2003-11-25T00:00:00"/>
    <n v="22.213888888888889"/>
    <x v="0"/>
    <x v="0"/>
    <x v="2"/>
    <s v="Sharqia"/>
    <d v="2024-06-20T00:00:00"/>
    <n v="1.6444444444444444"/>
    <n v="27961"/>
    <x v="0"/>
    <x v="0"/>
  </r>
  <r>
    <n v="51726"/>
    <s v="Emp 741"/>
    <s v="29001220152445"/>
    <x v="4"/>
    <x v="1"/>
    <d v="1990-01-22T00:00:00"/>
    <n v="36.055555555555557"/>
    <x v="1"/>
    <x v="1"/>
    <x v="4"/>
    <s v="Cairo"/>
    <d v="2024-06-21T00:00:00"/>
    <n v="1.6416666666666666"/>
    <n v="5786"/>
    <x v="0"/>
    <x v="1"/>
  </r>
  <r>
    <n v="56941"/>
    <s v="Emp 742"/>
    <s v="29007092156032"/>
    <x v="4"/>
    <x v="0"/>
    <d v="1990-07-09T00:00:00"/>
    <n v="35.591666666666669"/>
    <x v="0"/>
    <x v="1"/>
    <x v="2"/>
    <s v="Giza"/>
    <d v="2024-06-22T00:00:00"/>
    <n v="1.6388888888888888"/>
    <n v="5485"/>
    <x v="0"/>
    <x v="1"/>
  </r>
  <r>
    <n v="56303"/>
    <s v="Emp 743"/>
    <s v="29605111767076"/>
    <x v="4"/>
    <x v="0"/>
    <d v="1996-05-11T00:00:00"/>
    <n v="29.752777777777776"/>
    <x v="1"/>
    <x v="1"/>
    <x v="3"/>
    <s v="Monufia"/>
    <d v="2024-06-23T00:00:00"/>
    <n v="1.6361111111111111"/>
    <n v="6276"/>
    <x v="0"/>
    <x v="0"/>
  </r>
  <r>
    <n v="51922"/>
    <s v="Emp 744"/>
    <s v="28302042159914"/>
    <x v="8"/>
    <x v="0"/>
    <d v="1983-02-04T00:00:00"/>
    <n v="43.022222222222226"/>
    <x v="0"/>
    <x v="1"/>
    <x v="0"/>
    <s v="Giza"/>
    <d v="2024-06-24T00:00:00"/>
    <n v="1.6333333333333333"/>
    <n v="5707"/>
    <x v="0"/>
    <x v="1"/>
  </r>
  <r>
    <n v="58777"/>
    <s v="Emp 745"/>
    <s v="28608151773651"/>
    <x v="4"/>
    <x v="0"/>
    <d v="1986-08-15T00:00:00"/>
    <n v="39.491666666666667"/>
    <x v="1"/>
    <x v="2"/>
    <x v="0"/>
    <s v="Monufia"/>
    <d v="2024-06-25T00:00:00"/>
    <n v="1.6305555555555555"/>
    <n v="12708"/>
    <x v="0"/>
    <x v="0"/>
  </r>
  <r>
    <n v="53051"/>
    <s v="Emp 746"/>
    <s v="30104042187222"/>
    <x v="9"/>
    <x v="1"/>
    <d v="2001-04-04T00:00:00"/>
    <n v="24.855555555555554"/>
    <x v="0"/>
    <x v="1"/>
    <x v="2"/>
    <s v="Giza"/>
    <d v="2024-06-26T00:00:00"/>
    <n v="1.6277777777777778"/>
    <n v="5481"/>
    <x v="0"/>
    <x v="1"/>
  </r>
  <r>
    <n v="57558"/>
    <s v="Emp 747"/>
    <s v="28605101782588"/>
    <x v="0"/>
    <x v="1"/>
    <d v="1986-05-10T00:00:00"/>
    <n v="39.755555555555553"/>
    <x v="1"/>
    <x v="0"/>
    <x v="1"/>
    <s v="Monufia"/>
    <d v="2024-06-27T00:00:00"/>
    <n v="1.625"/>
    <n v="20407"/>
    <x v="0"/>
    <x v="0"/>
  </r>
  <r>
    <n v="51596"/>
    <s v="Emp 748"/>
    <s v="30004061763915"/>
    <x v="5"/>
    <x v="0"/>
    <d v="2000-04-06T00:00:00"/>
    <n v="25.85"/>
    <x v="0"/>
    <x v="2"/>
    <x v="4"/>
    <s v="Monufia"/>
    <d v="2024-06-28T00:00:00"/>
    <n v="1.6222222222222222"/>
    <n v="12141"/>
    <x v="0"/>
    <x v="0"/>
  </r>
  <r>
    <n v="51404"/>
    <s v="Emp 749"/>
    <s v="28412121974596"/>
    <x v="6"/>
    <x v="0"/>
    <d v="1984-12-12T00:00:00"/>
    <n v="41.166666666666664"/>
    <x v="1"/>
    <x v="2"/>
    <x v="2"/>
    <s v="Ismailia"/>
    <d v="2024-06-29T00:00:00"/>
    <n v="1.6194444444444445"/>
    <n v="14390"/>
    <x v="0"/>
    <x v="0"/>
  </r>
  <r>
    <n v="51340"/>
    <s v="Emp 750"/>
    <s v="30310201779019"/>
    <x v="5"/>
    <x v="0"/>
    <d v="2003-10-20T00:00:00"/>
    <n v="22.31111111111111"/>
    <x v="0"/>
    <x v="0"/>
    <x v="3"/>
    <s v="Monufia"/>
    <d v="2024-06-30T00:00:00"/>
    <n v="1.6166666666666667"/>
    <n v="19085"/>
    <x v="0"/>
    <x v="0"/>
  </r>
  <r>
    <n v="51652"/>
    <s v="Emp 751"/>
    <s v="28303081986763"/>
    <x v="3"/>
    <x v="1"/>
    <d v="1983-03-08T00:00:00"/>
    <n v="42.927777777777777"/>
    <x v="1"/>
    <x v="0"/>
    <x v="4"/>
    <s v="Ismailia"/>
    <d v="2024-07-01T00:00:00"/>
    <n v="1.6138888888888889"/>
    <n v="27008"/>
    <x v="1"/>
    <x v="0"/>
  </r>
  <r>
    <n v="58584"/>
    <s v="Emp 752"/>
    <s v="30104042172123"/>
    <x v="4"/>
    <x v="1"/>
    <d v="2001-04-04T00:00:00"/>
    <n v="24.855555555555554"/>
    <x v="0"/>
    <x v="1"/>
    <x v="2"/>
    <s v="Giza"/>
    <d v="2024-07-02T00:00:00"/>
    <n v="1.6111111111111112"/>
    <n v="4266"/>
    <x v="1"/>
    <x v="1"/>
  </r>
  <r>
    <n v="58008"/>
    <s v="Emp 753"/>
    <s v="28410262165776"/>
    <x v="7"/>
    <x v="0"/>
    <d v="1984-10-26T00:00:00"/>
    <n v="41.294444444444444"/>
    <x v="1"/>
    <x v="1"/>
    <x v="1"/>
    <s v="Giza"/>
    <d v="2024-07-03T00:00:00"/>
    <n v="1.6083333333333334"/>
    <n v="6328"/>
    <x v="1"/>
    <x v="0"/>
  </r>
  <r>
    <n v="52173"/>
    <s v="Emp 754"/>
    <s v="29406050159594"/>
    <x v="4"/>
    <x v="0"/>
    <d v="1994-06-05T00:00:00"/>
    <n v="31.68611111111111"/>
    <x v="1"/>
    <x v="0"/>
    <x v="0"/>
    <s v="Cairo"/>
    <d v="2024-07-04T00:00:00"/>
    <n v="1.6055555555555556"/>
    <n v="27384"/>
    <x v="1"/>
    <x v="0"/>
  </r>
  <r>
    <n v="57409"/>
    <s v="Emp 755"/>
    <s v="29402122156815"/>
    <x v="9"/>
    <x v="0"/>
    <d v="1994-02-12T00:00:00"/>
    <n v="32"/>
    <x v="0"/>
    <x v="1"/>
    <x v="0"/>
    <s v="Giza"/>
    <d v="2024-07-05T00:00:00"/>
    <n v="1.6027777777777779"/>
    <n v="3507"/>
    <x v="1"/>
    <x v="1"/>
  </r>
  <r>
    <n v="55831"/>
    <s v="Emp 756"/>
    <s v="28705062174959"/>
    <x v="8"/>
    <x v="0"/>
    <d v="1987-05-06T00:00:00"/>
    <n v="38.766666666666666"/>
    <x v="1"/>
    <x v="1"/>
    <x v="0"/>
    <s v="Giza"/>
    <d v="2024-07-06T00:00:00"/>
    <n v="1.6"/>
    <n v="6800"/>
    <x v="1"/>
    <x v="0"/>
  </r>
  <r>
    <n v="58419"/>
    <s v="Emp 757"/>
    <s v="28211181774224"/>
    <x v="7"/>
    <x v="1"/>
    <d v="1982-11-18T00:00:00"/>
    <n v="43.233333333333334"/>
    <x v="0"/>
    <x v="1"/>
    <x v="1"/>
    <s v="Monufia"/>
    <d v="2024-07-07T00:00:00"/>
    <n v="1.5972222222222223"/>
    <n v="6265"/>
    <x v="1"/>
    <x v="0"/>
  </r>
  <r>
    <n v="57354"/>
    <s v="Emp 758"/>
    <s v="29908110257037"/>
    <x v="9"/>
    <x v="0"/>
    <d v="1999-08-11T00:00:00"/>
    <n v="26.502777777777776"/>
    <x v="1"/>
    <x v="1"/>
    <x v="0"/>
    <s v="Alexandria"/>
    <d v="2024-07-08T00:00:00"/>
    <n v="1.5944444444444446"/>
    <n v="6563"/>
    <x v="1"/>
    <x v="0"/>
  </r>
  <r>
    <n v="50634"/>
    <s v="Emp 759"/>
    <s v="29412161769957"/>
    <x v="6"/>
    <x v="0"/>
    <d v="1994-12-16T00:00:00"/>
    <n v="31.155555555555555"/>
    <x v="0"/>
    <x v="2"/>
    <x v="2"/>
    <s v="Monufia"/>
    <d v="2024-07-09T00:00:00"/>
    <n v="1.5916666666666666"/>
    <n v="11613"/>
    <x v="1"/>
    <x v="0"/>
  </r>
  <r>
    <n v="58231"/>
    <s v="Emp 760"/>
    <s v="28908260174834"/>
    <x v="9"/>
    <x v="0"/>
    <d v="1989-08-26T00:00:00"/>
    <n v="36.461111111111109"/>
    <x v="1"/>
    <x v="1"/>
    <x v="1"/>
    <s v="Cairo"/>
    <d v="2024-07-10T00:00:00"/>
    <n v="1.5888888888888888"/>
    <n v="6599"/>
    <x v="1"/>
    <x v="0"/>
  </r>
  <r>
    <n v="51280"/>
    <s v="Emp 761"/>
    <s v="30109251780838"/>
    <x v="7"/>
    <x v="0"/>
    <d v="2001-09-25T00:00:00"/>
    <n v="24.380555555555556"/>
    <x v="1"/>
    <x v="0"/>
    <x v="4"/>
    <s v="Monufia"/>
    <d v="2024-07-11T00:00:00"/>
    <n v="1.586111111111111"/>
    <n v="26117"/>
    <x v="1"/>
    <x v="0"/>
  </r>
  <r>
    <n v="54170"/>
    <s v="Emp 762"/>
    <s v="28812190267089"/>
    <x v="9"/>
    <x v="1"/>
    <d v="1988-12-19T00:00:00"/>
    <n v="37.147222222222226"/>
    <x v="1"/>
    <x v="1"/>
    <x v="1"/>
    <s v="Alexandria"/>
    <d v="2024-07-12T00:00:00"/>
    <n v="1.5833333333333333"/>
    <n v="5569"/>
    <x v="1"/>
    <x v="1"/>
  </r>
  <r>
    <n v="58665"/>
    <s v="Emp 763"/>
    <s v="29305051380443"/>
    <x v="9"/>
    <x v="1"/>
    <d v="1993-05-05T00:00:00"/>
    <n v="32.769444444444446"/>
    <x v="1"/>
    <x v="1"/>
    <x v="4"/>
    <s v="Sharqia"/>
    <d v="2024-07-13T00:00:00"/>
    <n v="1.5805555555555555"/>
    <n v="3645"/>
    <x v="1"/>
    <x v="1"/>
  </r>
  <r>
    <n v="57509"/>
    <s v="Emp 764"/>
    <s v="30112070163478"/>
    <x v="5"/>
    <x v="0"/>
    <d v="2001-12-07T00:00:00"/>
    <n v="24.180555555555557"/>
    <x v="0"/>
    <x v="2"/>
    <x v="3"/>
    <s v="Cairo"/>
    <d v="2024-07-14T00:00:00"/>
    <n v="1.5777777777777777"/>
    <n v="12840"/>
    <x v="1"/>
    <x v="0"/>
  </r>
  <r>
    <n v="52779"/>
    <s v="Emp 765"/>
    <s v="28608010157343"/>
    <x v="2"/>
    <x v="1"/>
    <d v="1986-08-01T00:00:00"/>
    <n v="39.530555555555559"/>
    <x v="1"/>
    <x v="1"/>
    <x v="0"/>
    <s v="Cairo"/>
    <d v="2024-07-15T00:00:00"/>
    <n v="1.575"/>
    <n v="5764"/>
    <x v="1"/>
    <x v="1"/>
  </r>
  <r>
    <n v="53492"/>
    <s v="Emp 766"/>
    <s v="28508221980761"/>
    <x v="4"/>
    <x v="1"/>
    <d v="1985-08-22T00:00:00"/>
    <n v="40.472222222222221"/>
    <x v="1"/>
    <x v="1"/>
    <x v="4"/>
    <s v="Ismailia"/>
    <d v="2024-07-16T00:00:00"/>
    <n v="1.5722222222222222"/>
    <n v="4502"/>
    <x v="1"/>
    <x v="1"/>
  </r>
  <r>
    <n v="52367"/>
    <s v="Emp 767"/>
    <s v="29912071354137"/>
    <x v="6"/>
    <x v="0"/>
    <d v="1999-12-07T00:00:00"/>
    <n v="26.180555555555557"/>
    <x v="0"/>
    <x v="1"/>
    <x v="4"/>
    <s v="Sharqia"/>
    <d v="2024-07-17T00:00:00"/>
    <n v="1.5694444444444444"/>
    <n v="5410"/>
    <x v="1"/>
    <x v="1"/>
  </r>
  <r>
    <n v="53590"/>
    <s v="Emp 768"/>
    <s v="28204110176746"/>
    <x v="7"/>
    <x v="1"/>
    <d v="1982-04-11T00:00:00"/>
    <n v="43.836111111111109"/>
    <x v="1"/>
    <x v="1"/>
    <x v="1"/>
    <s v="Cairo"/>
    <d v="2024-07-18T00:00:00"/>
    <n v="1.5666666666666667"/>
    <n v="5332"/>
    <x v="1"/>
    <x v="1"/>
  </r>
  <r>
    <n v="56098"/>
    <s v="Emp 769"/>
    <s v="29910280255664"/>
    <x v="8"/>
    <x v="1"/>
    <d v="1999-10-28T00:00:00"/>
    <n v="26.288888888888888"/>
    <x v="1"/>
    <x v="2"/>
    <x v="2"/>
    <s v="Alexandria"/>
    <d v="2024-07-19T00:00:00"/>
    <n v="1.5638888888888889"/>
    <n v="11290"/>
    <x v="1"/>
    <x v="0"/>
  </r>
  <r>
    <n v="50779"/>
    <s v="Emp 770"/>
    <s v="28305090173632"/>
    <x v="4"/>
    <x v="0"/>
    <d v="1983-05-09T00:00:00"/>
    <n v="42.758333333333333"/>
    <x v="0"/>
    <x v="1"/>
    <x v="4"/>
    <s v="Cairo"/>
    <d v="2024-07-20T00:00:00"/>
    <n v="1.5611111111111111"/>
    <n v="5664"/>
    <x v="1"/>
    <x v="1"/>
  </r>
  <r>
    <n v="55935"/>
    <s v="Emp 771"/>
    <s v="30208181389997"/>
    <x v="3"/>
    <x v="0"/>
    <d v="2002-08-18T00:00:00"/>
    <n v="23.483333333333334"/>
    <x v="1"/>
    <x v="2"/>
    <x v="3"/>
    <s v="Sharqia"/>
    <d v="2024-07-21T00:00:00"/>
    <n v="1.5583333333333333"/>
    <n v="13554"/>
    <x v="1"/>
    <x v="0"/>
  </r>
  <r>
    <n v="55143"/>
    <s v="Emp 772"/>
    <s v="28412231971022"/>
    <x v="6"/>
    <x v="1"/>
    <d v="1984-12-23T00:00:00"/>
    <n v="41.136111111111113"/>
    <x v="0"/>
    <x v="0"/>
    <x v="3"/>
    <s v="Ismailia"/>
    <d v="2024-07-22T00:00:00"/>
    <n v="1.5555555555555556"/>
    <n v="17211"/>
    <x v="1"/>
    <x v="0"/>
  </r>
  <r>
    <n v="53026"/>
    <s v="Emp 773"/>
    <s v="30201051782532"/>
    <x v="4"/>
    <x v="0"/>
    <d v="2002-01-05T00:00:00"/>
    <n v="24.102777777777778"/>
    <x v="0"/>
    <x v="1"/>
    <x v="0"/>
    <s v="Monufia"/>
    <d v="2024-07-23T00:00:00"/>
    <n v="1.5527777777777778"/>
    <n v="5669"/>
    <x v="1"/>
    <x v="1"/>
  </r>
  <r>
    <n v="51988"/>
    <s v="Emp 774"/>
    <s v="29402260152396"/>
    <x v="4"/>
    <x v="0"/>
    <d v="1994-02-26T00:00:00"/>
    <n v="31.961111111111112"/>
    <x v="1"/>
    <x v="1"/>
    <x v="3"/>
    <s v="Cairo"/>
    <d v="2024-07-24T00:00:00"/>
    <n v="1.55"/>
    <n v="3370"/>
    <x v="1"/>
    <x v="1"/>
  </r>
  <r>
    <n v="50132"/>
    <s v="Emp 775"/>
    <s v="29910190265361"/>
    <x v="2"/>
    <x v="1"/>
    <d v="1999-10-19T00:00:00"/>
    <n v="26.31388888888889"/>
    <x v="0"/>
    <x v="1"/>
    <x v="1"/>
    <s v="Alexandria"/>
    <d v="2024-07-25T00:00:00"/>
    <n v="1.5472222222222223"/>
    <n v="5611"/>
    <x v="1"/>
    <x v="1"/>
  </r>
  <r>
    <n v="56309"/>
    <s v="Emp 776"/>
    <s v="29006121755897"/>
    <x v="0"/>
    <x v="0"/>
    <d v="1990-06-12T00:00:00"/>
    <n v="35.666666666666664"/>
    <x v="0"/>
    <x v="2"/>
    <x v="1"/>
    <s v="Monufia"/>
    <d v="2024-07-26T00:00:00"/>
    <n v="1.5444444444444445"/>
    <n v="11521"/>
    <x v="1"/>
    <x v="0"/>
  </r>
  <r>
    <n v="54769"/>
    <s v="Emp 777"/>
    <s v="28902161981666"/>
    <x v="4"/>
    <x v="1"/>
    <d v="1989-02-16T00:00:00"/>
    <n v="36.988888888888887"/>
    <x v="0"/>
    <x v="1"/>
    <x v="4"/>
    <s v="Ismailia"/>
    <d v="2024-07-27T00:00:00"/>
    <n v="1.5416666666666667"/>
    <n v="4757"/>
    <x v="1"/>
    <x v="1"/>
  </r>
  <r>
    <n v="56735"/>
    <s v="Emp 778"/>
    <s v="29207010257763"/>
    <x v="4"/>
    <x v="1"/>
    <d v="1992-07-01T00:00:00"/>
    <n v="33.613888888888887"/>
    <x v="1"/>
    <x v="2"/>
    <x v="1"/>
    <s v="Alexandria"/>
    <d v="2024-07-28T00:00:00"/>
    <n v="1.538888888888889"/>
    <n v="10685"/>
    <x v="1"/>
    <x v="0"/>
  </r>
  <r>
    <n v="51229"/>
    <s v="Emp 779"/>
    <s v="29903080288862"/>
    <x v="4"/>
    <x v="1"/>
    <d v="1999-03-08T00:00:00"/>
    <n v="26.927777777777777"/>
    <x v="0"/>
    <x v="0"/>
    <x v="2"/>
    <s v="Alexandria"/>
    <d v="2024-07-29T00:00:00"/>
    <n v="1.5361111111111112"/>
    <n v="22145"/>
    <x v="1"/>
    <x v="0"/>
  </r>
  <r>
    <n v="56283"/>
    <s v="Emp 780"/>
    <s v="29105082160124"/>
    <x v="0"/>
    <x v="1"/>
    <d v="1991-05-08T00:00:00"/>
    <n v="34.761111111111113"/>
    <x v="1"/>
    <x v="1"/>
    <x v="0"/>
    <s v="Giza"/>
    <d v="2024-07-30T00:00:00"/>
    <n v="1.5333333333333334"/>
    <n v="5345"/>
    <x v="1"/>
    <x v="1"/>
  </r>
  <r>
    <n v="58328"/>
    <s v="Emp 781"/>
    <s v="28606031764849"/>
    <x v="9"/>
    <x v="1"/>
    <d v="1986-06-03T00:00:00"/>
    <n v="39.69166666666667"/>
    <x v="1"/>
    <x v="0"/>
    <x v="3"/>
    <s v="Monufia"/>
    <d v="2024-07-31T00:00:00"/>
    <n v="1.5333333333333334"/>
    <n v="23490"/>
    <x v="1"/>
    <x v="0"/>
  </r>
  <r>
    <n v="59992"/>
    <s v="Emp 782"/>
    <s v="30301120153949"/>
    <x v="2"/>
    <x v="1"/>
    <d v="2003-01-12T00:00:00"/>
    <n v="23.083333333333332"/>
    <x v="0"/>
    <x v="1"/>
    <x v="0"/>
    <s v="Cairo"/>
    <d v="2024-08-01T00:00:00"/>
    <n v="1.5305555555555554"/>
    <n v="5108"/>
    <x v="2"/>
    <x v="1"/>
  </r>
  <r>
    <n v="58302"/>
    <s v="Emp 783"/>
    <s v="28512100265316"/>
    <x v="4"/>
    <x v="0"/>
    <d v="1985-12-10T00:00:00"/>
    <n v="40.172222222222224"/>
    <x v="0"/>
    <x v="1"/>
    <x v="4"/>
    <s v="Alexandria"/>
    <d v="2024-08-02T00:00:00"/>
    <n v="1.5277777777777777"/>
    <n v="4394"/>
    <x v="2"/>
    <x v="1"/>
  </r>
  <r>
    <n v="56662"/>
    <s v="Emp 784"/>
    <s v="28609180161888"/>
    <x v="5"/>
    <x v="1"/>
    <d v="1986-09-18T00:00:00"/>
    <n v="39.4"/>
    <x v="0"/>
    <x v="1"/>
    <x v="4"/>
    <s v="Cairo"/>
    <d v="2024-08-03T00:00:00"/>
    <n v="1.5249999999999999"/>
    <n v="4019"/>
    <x v="2"/>
    <x v="1"/>
  </r>
  <r>
    <n v="50601"/>
    <s v="Emp 785"/>
    <s v="28210040252322"/>
    <x v="7"/>
    <x v="1"/>
    <d v="1982-10-04T00:00:00"/>
    <n v="43.355555555555554"/>
    <x v="0"/>
    <x v="1"/>
    <x v="3"/>
    <s v="Alexandria"/>
    <d v="2024-08-04T00:00:00"/>
    <n v="1.5222222222222221"/>
    <n v="6363"/>
    <x v="2"/>
    <x v="0"/>
  </r>
  <r>
    <n v="59583"/>
    <s v="Emp 786"/>
    <s v="29003121363228"/>
    <x v="6"/>
    <x v="1"/>
    <d v="1990-03-12T00:00:00"/>
    <n v="35.916666666666664"/>
    <x v="1"/>
    <x v="1"/>
    <x v="2"/>
    <s v="Sharqia"/>
    <d v="2024-08-05T00:00:00"/>
    <n v="1.5194444444444444"/>
    <n v="6511"/>
    <x v="2"/>
    <x v="0"/>
  </r>
  <r>
    <n v="50406"/>
    <s v="Emp 787"/>
    <s v="28906191977465"/>
    <x v="8"/>
    <x v="1"/>
    <d v="1989-06-19T00:00:00"/>
    <n v="36.647222222222226"/>
    <x v="0"/>
    <x v="1"/>
    <x v="1"/>
    <s v="Ismailia"/>
    <d v="2024-08-06T00:00:00"/>
    <n v="1.5166666666666666"/>
    <n v="6434"/>
    <x v="2"/>
    <x v="0"/>
  </r>
  <r>
    <n v="54834"/>
    <s v="Emp 788"/>
    <s v="30308112153649"/>
    <x v="7"/>
    <x v="1"/>
    <d v="2003-08-11T00:00:00"/>
    <n v="22.502777777777776"/>
    <x v="1"/>
    <x v="1"/>
    <x v="0"/>
    <s v="Giza"/>
    <d v="2024-08-07T00:00:00"/>
    <n v="1.5138888888888888"/>
    <n v="6696"/>
    <x v="2"/>
    <x v="0"/>
  </r>
  <r>
    <n v="50704"/>
    <s v="Emp 789"/>
    <s v="28902190257512"/>
    <x v="9"/>
    <x v="0"/>
    <d v="1989-02-19T00:00:00"/>
    <n v="36.980555555555554"/>
    <x v="1"/>
    <x v="2"/>
    <x v="3"/>
    <s v="Alexandria"/>
    <d v="2024-08-08T00:00:00"/>
    <n v="1.5111111111111111"/>
    <n v="14917"/>
    <x v="2"/>
    <x v="0"/>
  </r>
  <r>
    <n v="55238"/>
    <s v="Emp 790"/>
    <s v="29007180255196"/>
    <x v="3"/>
    <x v="0"/>
    <d v="1990-07-18T00:00:00"/>
    <n v="35.56666666666667"/>
    <x v="1"/>
    <x v="2"/>
    <x v="4"/>
    <s v="Alexandria"/>
    <d v="2024-08-09T00:00:00"/>
    <n v="1.5083333333333333"/>
    <n v="14641"/>
    <x v="2"/>
    <x v="0"/>
  </r>
  <r>
    <n v="55816"/>
    <s v="Emp 791"/>
    <s v="29311220156459"/>
    <x v="0"/>
    <x v="0"/>
    <d v="1993-11-22T00:00:00"/>
    <n v="32.222222222222221"/>
    <x v="1"/>
    <x v="1"/>
    <x v="0"/>
    <s v="Cairo"/>
    <d v="2024-08-10T00:00:00"/>
    <n v="1.5055555555555555"/>
    <n v="6835"/>
    <x v="2"/>
    <x v="0"/>
  </r>
  <r>
    <n v="55965"/>
    <s v="Emp 792"/>
    <s v="29904190153786"/>
    <x v="8"/>
    <x v="1"/>
    <d v="1999-04-19T00:00:00"/>
    <n v="26.81388888888889"/>
    <x v="1"/>
    <x v="1"/>
    <x v="3"/>
    <s v="Cairo"/>
    <d v="2024-08-11T00:00:00"/>
    <n v="1.5027777777777778"/>
    <n v="3196"/>
    <x v="2"/>
    <x v="1"/>
  </r>
  <r>
    <n v="59402"/>
    <s v="Emp 793"/>
    <s v="29409051386549"/>
    <x v="8"/>
    <x v="1"/>
    <d v="1994-09-05T00:00:00"/>
    <n v="31.43611111111111"/>
    <x v="1"/>
    <x v="2"/>
    <x v="1"/>
    <s v="Sharqia"/>
    <d v="2024-08-12T00:00:00"/>
    <n v="1.5"/>
    <n v="10570"/>
    <x v="2"/>
    <x v="0"/>
  </r>
  <r>
    <n v="59992"/>
    <s v="Emp 794"/>
    <s v="28308260156939"/>
    <x v="4"/>
    <x v="0"/>
    <d v="1983-08-26T00:00:00"/>
    <n v="42.461111111111109"/>
    <x v="1"/>
    <x v="1"/>
    <x v="4"/>
    <s v="Cairo"/>
    <d v="2024-08-13T00:00:00"/>
    <n v="1.4972222222222222"/>
    <n v="3266"/>
    <x v="2"/>
    <x v="1"/>
  </r>
  <r>
    <n v="50778"/>
    <s v="Emp 795"/>
    <s v="29504252184069"/>
    <x v="4"/>
    <x v="1"/>
    <d v="1995-04-25T00:00:00"/>
    <n v="30.797222222222221"/>
    <x v="1"/>
    <x v="1"/>
    <x v="2"/>
    <s v="Giza"/>
    <d v="2024-08-14T00:00:00"/>
    <n v="1.4944444444444445"/>
    <n v="6674"/>
    <x v="2"/>
    <x v="0"/>
  </r>
  <r>
    <n v="50065"/>
    <s v="Emp 796"/>
    <s v="30004222166853"/>
    <x v="4"/>
    <x v="0"/>
    <d v="2000-04-22T00:00:00"/>
    <n v="25.805555555555557"/>
    <x v="1"/>
    <x v="1"/>
    <x v="1"/>
    <s v="Giza"/>
    <d v="2024-08-15T00:00:00"/>
    <n v="1.4916666666666667"/>
    <n v="5613"/>
    <x v="2"/>
    <x v="1"/>
  </r>
  <r>
    <n v="53788"/>
    <s v="Emp 797"/>
    <s v="28203020156651"/>
    <x v="8"/>
    <x v="0"/>
    <d v="1982-03-02T00:00:00"/>
    <n v="43.944444444444443"/>
    <x v="0"/>
    <x v="1"/>
    <x v="4"/>
    <s v="Cairo"/>
    <d v="2024-08-16T00:00:00"/>
    <n v="1.4888888888888889"/>
    <n v="3389"/>
    <x v="2"/>
    <x v="1"/>
  </r>
  <r>
    <n v="59215"/>
    <s v="Emp 798"/>
    <s v="29102192191197"/>
    <x v="9"/>
    <x v="0"/>
    <d v="1991-02-19T00:00:00"/>
    <n v="34.980555555555554"/>
    <x v="1"/>
    <x v="0"/>
    <x v="4"/>
    <s v="Giza"/>
    <d v="2024-08-17T00:00:00"/>
    <n v="1.4861111111111112"/>
    <n v="20692"/>
    <x v="2"/>
    <x v="0"/>
  </r>
  <r>
    <n v="56567"/>
    <s v="Emp 799"/>
    <s v="28709050270884"/>
    <x v="9"/>
    <x v="1"/>
    <d v="1987-09-05T00:00:00"/>
    <n v="38.43611111111111"/>
    <x v="0"/>
    <x v="1"/>
    <x v="3"/>
    <s v="Alexandria"/>
    <d v="2024-08-18T00:00:00"/>
    <n v="1.4833333333333334"/>
    <n v="3492"/>
    <x v="2"/>
    <x v="1"/>
  </r>
  <r>
    <n v="55415"/>
    <s v="Emp 800"/>
    <s v="28210262181826"/>
    <x v="7"/>
    <x v="1"/>
    <d v="1982-10-26T00:00:00"/>
    <n v="43.294444444444444"/>
    <x v="1"/>
    <x v="1"/>
    <x v="4"/>
    <s v="Giza"/>
    <d v="2024-08-19T00:00:00"/>
    <n v="1.4805555555555556"/>
    <n v="4296"/>
    <x v="2"/>
    <x v="1"/>
  </r>
  <r>
    <n v="51716"/>
    <s v="Emp 801"/>
    <s v="29802071981934"/>
    <x v="2"/>
    <x v="0"/>
    <d v="1998-02-07T00:00:00"/>
    <n v="28.013888888888889"/>
    <x v="1"/>
    <x v="1"/>
    <x v="0"/>
    <s v="Ismailia"/>
    <d v="2024-08-20T00:00:00"/>
    <n v="1.4777777777777779"/>
    <n v="4275"/>
    <x v="2"/>
    <x v="1"/>
  </r>
  <r>
    <n v="52547"/>
    <s v="Emp 802"/>
    <s v="29702141358354"/>
    <x v="3"/>
    <x v="0"/>
    <d v="1997-02-14T00:00:00"/>
    <n v="28.994444444444444"/>
    <x v="1"/>
    <x v="1"/>
    <x v="0"/>
    <s v="Sharqia"/>
    <d v="2024-08-21T00:00:00"/>
    <n v="1.4750000000000001"/>
    <n v="6673"/>
    <x v="2"/>
    <x v="0"/>
  </r>
  <r>
    <n v="50295"/>
    <s v="Emp 803"/>
    <s v="30012220284537"/>
    <x v="9"/>
    <x v="0"/>
    <d v="2000-12-22T00:00:00"/>
    <n v="25.138888888888889"/>
    <x v="0"/>
    <x v="0"/>
    <x v="4"/>
    <s v="Alexandria"/>
    <d v="2024-08-22T00:00:00"/>
    <n v="1.4722222222222223"/>
    <n v="26708"/>
    <x v="2"/>
    <x v="0"/>
  </r>
  <r>
    <n v="53263"/>
    <s v="Emp 804"/>
    <s v="28303122183744"/>
    <x v="2"/>
    <x v="1"/>
    <d v="1983-03-12T00:00:00"/>
    <n v="42.916666666666664"/>
    <x v="1"/>
    <x v="1"/>
    <x v="4"/>
    <s v="Giza"/>
    <d v="2024-08-23T00:00:00"/>
    <n v="1.4694444444444446"/>
    <n v="4317"/>
    <x v="2"/>
    <x v="1"/>
  </r>
  <r>
    <n v="59916"/>
    <s v="Emp 805"/>
    <s v="28907201782073"/>
    <x v="4"/>
    <x v="0"/>
    <d v="1989-07-20T00:00:00"/>
    <n v="36.56111111111111"/>
    <x v="0"/>
    <x v="1"/>
    <x v="2"/>
    <s v="Monufia"/>
    <d v="2024-08-24T00:00:00"/>
    <n v="1.4666666666666666"/>
    <n v="3795"/>
    <x v="2"/>
    <x v="1"/>
  </r>
  <r>
    <n v="51025"/>
    <s v="Emp 806"/>
    <s v="29910022181316"/>
    <x v="7"/>
    <x v="0"/>
    <d v="1999-10-02T00:00:00"/>
    <n v="26.361111111111111"/>
    <x v="1"/>
    <x v="2"/>
    <x v="4"/>
    <s v="Giza"/>
    <d v="2024-08-25T00:00:00"/>
    <n v="1.4638888888888888"/>
    <n v="10109"/>
    <x v="2"/>
    <x v="0"/>
  </r>
  <r>
    <n v="58158"/>
    <s v="Emp 807"/>
    <s v="29204160280561"/>
    <x v="2"/>
    <x v="1"/>
    <d v="1992-04-16T00:00:00"/>
    <n v="33.822222222222223"/>
    <x v="0"/>
    <x v="1"/>
    <x v="4"/>
    <s v="Alexandria"/>
    <d v="2024-08-26T00:00:00"/>
    <n v="1.461111111111111"/>
    <n v="3679"/>
    <x v="2"/>
    <x v="1"/>
  </r>
  <r>
    <n v="59145"/>
    <s v="Emp 808"/>
    <s v="29911061986796"/>
    <x v="4"/>
    <x v="0"/>
    <d v="1999-11-06T00:00:00"/>
    <n v="26.266666666666666"/>
    <x v="1"/>
    <x v="0"/>
    <x v="4"/>
    <s v="Ismailia"/>
    <d v="2024-08-27T00:00:00"/>
    <n v="1.4583333333333333"/>
    <n v="23197"/>
    <x v="2"/>
    <x v="0"/>
  </r>
  <r>
    <n v="57127"/>
    <s v="Emp 809"/>
    <s v="28212221954762"/>
    <x v="8"/>
    <x v="1"/>
    <d v="1982-12-22T00:00:00"/>
    <n v="43.138888888888886"/>
    <x v="0"/>
    <x v="0"/>
    <x v="1"/>
    <s v="Ismailia"/>
    <d v="2024-08-28T00:00:00"/>
    <n v="1.4555555555555555"/>
    <n v="19161"/>
    <x v="2"/>
    <x v="0"/>
  </r>
  <r>
    <n v="59864"/>
    <s v="Emp 810"/>
    <s v="29411251786698"/>
    <x v="3"/>
    <x v="0"/>
    <d v="1994-11-25T00:00:00"/>
    <n v="31.213888888888889"/>
    <x v="0"/>
    <x v="1"/>
    <x v="1"/>
    <s v="Monufia"/>
    <d v="2024-08-29T00:00:00"/>
    <n v="1.4527777777777777"/>
    <n v="6508"/>
    <x v="2"/>
    <x v="0"/>
  </r>
  <r>
    <n v="52516"/>
    <s v="Emp 811"/>
    <s v="30312162158762"/>
    <x v="4"/>
    <x v="1"/>
    <d v="2003-12-16T00:00:00"/>
    <n v="22.155555555555555"/>
    <x v="1"/>
    <x v="1"/>
    <x v="4"/>
    <s v="Giza"/>
    <d v="2024-08-30T00:00:00"/>
    <n v="1.45"/>
    <n v="5983"/>
    <x v="2"/>
    <x v="0"/>
  </r>
  <r>
    <n v="52977"/>
    <s v="Emp 812"/>
    <s v="28810101764293"/>
    <x v="0"/>
    <x v="0"/>
    <d v="1988-10-10T00:00:00"/>
    <n v="37.338888888888889"/>
    <x v="0"/>
    <x v="1"/>
    <x v="1"/>
    <s v="Monufia"/>
    <d v="2024-08-31T00:00:00"/>
    <n v="1.45"/>
    <n v="6677"/>
    <x v="2"/>
    <x v="0"/>
  </r>
  <r>
    <n v="51296"/>
    <s v="Emp 813"/>
    <s v="29210051773297"/>
    <x v="5"/>
    <x v="0"/>
    <d v="1992-10-05T00:00:00"/>
    <n v="33.352777777777774"/>
    <x v="0"/>
    <x v="1"/>
    <x v="3"/>
    <s v="Monufia"/>
    <d v="2024-09-01T00:00:00"/>
    <n v="1.4472222222222222"/>
    <n v="3128"/>
    <x v="3"/>
    <x v="1"/>
  </r>
  <r>
    <n v="55050"/>
    <s v="Emp 814"/>
    <s v="29912081381997"/>
    <x v="9"/>
    <x v="0"/>
    <d v="1999-12-08T00:00:00"/>
    <n v="26.177777777777777"/>
    <x v="0"/>
    <x v="1"/>
    <x v="4"/>
    <s v="Sharqia"/>
    <d v="2024-09-02T00:00:00"/>
    <n v="1.4444444444444444"/>
    <n v="5201"/>
    <x v="3"/>
    <x v="1"/>
  </r>
  <r>
    <n v="54319"/>
    <s v="Emp 815"/>
    <s v="29602241772522"/>
    <x v="9"/>
    <x v="1"/>
    <d v="1996-02-24T00:00:00"/>
    <n v="29.966666666666665"/>
    <x v="0"/>
    <x v="0"/>
    <x v="2"/>
    <s v="Monufia"/>
    <d v="2024-09-03T00:00:00"/>
    <n v="1.4416666666666667"/>
    <n v="15036"/>
    <x v="3"/>
    <x v="0"/>
  </r>
  <r>
    <n v="57369"/>
    <s v="Emp 816"/>
    <s v="29912170255693"/>
    <x v="7"/>
    <x v="0"/>
    <d v="1999-12-17T00:00:00"/>
    <n v="26.152777777777779"/>
    <x v="0"/>
    <x v="1"/>
    <x v="1"/>
    <s v="Alexandria"/>
    <d v="2024-09-04T00:00:00"/>
    <n v="1.4388888888888889"/>
    <n v="5557"/>
    <x v="3"/>
    <x v="1"/>
  </r>
  <r>
    <n v="59043"/>
    <s v="Emp 817"/>
    <s v="29102161356169"/>
    <x v="7"/>
    <x v="1"/>
    <d v="1991-02-16T00:00:00"/>
    <n v="34.988888888888887"/>
    <x v="0"/>
    <x v="2"/>
    <x v="2"/>
    <s v="Sharqia"/>
    <d v="2024-09-05T00:00:00"/>
    <n v="1.4361111111111111"/>
    <n v="11367"/>
    <x v="3"/>
    <x v="0"/>
  </r>
  <r>
    <n v="54381"/>
    <s v="Emp 818"/>
    <s v="30201011788772"/>
    <x v="0"/>
    <x v="0"/>
    <d v="2002-01-01T00:00:00"/>
    <n v="24.113888888888887"/>
    <x v="1"/>
    <x v="0"/>
    <x v="4"/>
    <s v="Monufia"/>
    <d v="2024-09-06T00:00:00"/>
    <n v="1.4333333333333333"/>
    <n v="20454"/>
    <x v="3"/>
    <x v="0"/>
  </r>
  <r>
    <n v="54564"/>
    <s v="Emp 819"/>
    <s v="29808152174424"/>
    <x v="0"/>
    <x v="1"/>
    <d v="1998-08-15T00:00:00"/>
    <n v="27.491666666666667"/>
    <x v="1"/>
    <x v="0"/>
    <x v="3"/>
    <s v="Giza"/>
    <d v="2024-09-07T00:00:00"/>
    <n v="1.4305555555555556"/>
    <n v="23329"/>
    <x v="3"/>
    <x v="0"/>
  </r>
  <r>
    <n v="55854"/>
    <s v="Emp 820"/>
    <s v="29012060274724"/>
    <x v="9"/>
    <x v="1"/>
    <d v="1990-12-06T00:00:00"/>
    <n v="35.18333333333333"/>
    <x v="0"/>
    <x v="1"/>
    <x v="3"/>
    <s v="Alexandria"/>
    <d v="2024-09-08T00:00:00"/>
    <n v="1.4277777777777778"/>
    <n v="5794"/>
    <x v="3"/>
    <x v="1"/>
  </r>
  <r>
    <n v="53997"/>
    <s v="Emp 821"/>
    <s v="30305232190282"/>
    <x v="8"/>
    <x v="1"/>
    <d v="2003-05-23T00:00:00"/>
    <n v="22.719444444444445"/>
    <x v="1"/>
    <x v="1"/>
    <x v="0"/>
    <s v="Giza"/>
    <d v="2024-09-09T00:00:00"/>
    <n v="1.425"/>
    <n v="5666"/>
    <x v="3"/>
    <x v="1"/>
  </r>
  <r>
    <n v="56999"/>
    <s v="Emp 822"/>
    <s v="30311031764838"/>
    <x v="7"/>
    <x v="0"/>
    <d v="2003-11-03T00:00:00"/>
    <n v="22.274999999999999"/>
    <x v="1"/>
    <x v="0"/>
    <x v="3"/>
    <s v="Monufia"/>
    <d v="2024-09-10T00:00:00"/>
    <n v="1.4222222222222223"/>
    <n v="26651"/>
    <x v="3"/>
    <x v="0"/>
  </r>
  <r>
    <n v="53077"/>
    <s v="Emp 823"/>
    <s v="29110151955112"/>
    <x v="0"/>
    <x v="0"/>
    <d v="1991-10-15T00:00:00"/>
    <n v="34.325000000000003"/>
    <x v="1"/>
    <x v="1"/>
    <x v="4"/>
    <s v="Ismailia"/>
    <d v="2024-09-11T00:00:00"/>
    <n v="1.4194444444444445"/>
    <n v="6466"/>
    <x v="3"/>
    <x v="0"/>
  </r>
  <r>
    <n v="59532"/>
    <s v="Emp 824"/>
    <s v="29702210159837"/>
    <x v="0"/>
    <x v="0"/>
    <d v="1997-02-21T00:00:00"/>
    <n v="28.975000000000001"/>
    <x v="1"/>
    <x v="0"/>
    <x v="0"/>
    <s v="Cairo"/>
    <d v="2024-09-12T00:00:00"/>
    <n v="1.4166666666666667"/>
    <n v="18461"/>
    <x v="3"/>
    <x v="0"/>
  </r>
  <r>
    <n v="59525"/>
    <s v="Emp 825"/>
    <s v="28901211781121"/>
    <x v="6"/>
    <x v="1"/>
    <d v="1989-01-21T00:00:00"/>
    <n v="37.05833333333333"/>
    <x v="1"/>
    <x v="1"/>
    <x v="4"/>
    <s v="Monufia"/>
    <d v="2024-09-13T00:00:00"/>
    <n v="1.413888888888889"/>
    <n v="4634"/>
    <x v="3"/>
    <x v="1"/>
  </r>
  <r>
    <n v="59185"/>
    <s v="Emp 826"/>
    <s v="29810111983428"/>
    <x v="0"/>
    <x v="1"/>
    <d v="1998-10-11T00:00:00"/>
    <n v="27.336111111111112"/>
    <x v="1"/>
    <x v="1"/>
    <x v="0"/>
    <s v="Ismailia"/>
    <d v="2024-09-14T00:00:00"/>
    <n v="1.4111111111111112"/>
    <n v="6365"/>
    <x v="3"/>
    <x v="0"/>
  </r>
  <r>
    <n v="57617"/>
    <s v="Emp 827"/>
    <s v="29503171766264"/>
    <x v="6"/>
    <x v="1"/>
    <d v="1995-03-17T00:00:00"/>
    <n v="30.902777777777779"/>
    <x v="0"/>
    <x v="2"/>
    <x v="3"/>
    <s v="Monufia"/>
    <d v="2024-09-15T00:00:00"/>
    <n v="1.4083333333333334"/>
    <n v="13384"/>
    <x v="3"/>
    <x v="0"/>
  </r>
  <r>
    <n v="58825"/>
    <s v="Emp 828"/>
    <s v="29204150285526"/>
    <x v="9"/>
    <x v="1"/>
    <d v="1992-04-15T00:00:00"/>
    <n v="33.825000000000003"/>
    <x v="1"/>
    <x v="2"/>
    <x v="4"/>
    <s v="Alexandria"/>
    <d v="2024-09-16T00:00:00"/>
    <n v="1.4055555555555554"/>
    <n v="13754"/>
    <x v="3"/>
    <x v="0"/>
  </r>
  <r>
    <n v="50861"/>
    <s v="Emp 829"/>
    <s v="30109101371544"/>
    <x v="4"/>
    <x v="1"/>
    <d v="2001-09-10T00:00:00"/>
    <n v="24.422222222222221"/>
    <x v="1"/>
    <x v="1"/>
    <x v="2"/>
    <s v="Sharqia"/>
    <d v="2024-09-17T00:00:00"/>
    <n v="1.4027777777777777"/>
    <n v="6339"/>
    <x v="3"/>
    <x v="0"/>
  </r>
  <r>
    <n v="51601"/>
    <s v="Emp 830"/>
    <s v="29204251961654"/>
    <x v="0"/>
    <x v="0"/>
    <d v="1992-04-25T00:00:00"/>
    <n v="33.797222222222224"/>
    <x v="0"/>
    <x v="1"/>
    <x v="2"/>
    <s v="Ismailia"/>
    <d v="2024-09-18T00:00:00"/>
    <n v="1.4"/>
    <n v="4819"/>
    <x v="3"/>
    <x v="1"/>
  </r>
  <r>
    <n v="57695"/>
    <s v="Emp 831"/>
    <s v="29107231977832"/>
    <x v="6"/>
    <x v="0"/>
    <d v="1991-07-23T00:00:00"/>
    <n v="34.552777777777777"/>
    <x v="1"/>
    <x v="0"/>
    <x v="2"/>
    <s v="Ismailia"/>
    <d v="2024-09-19T00:00:00"/>
    <n v="1.3972222222222221"/>
    <n v="19170"/>
    <x v="3"/>
    <x v="0"/>
  </r>
  <r>
    <n v="54040"/>
    <s v="Emp 832"/>
    <s v="29510031981988"/>
    <x v="8"/>
    <x v="1"/>
    <d v="1995-10-03T00:00:00"/>
    <n v="30.358333333333334"/>
    <x v="0"/>
    <x v="1"/>
    <x v="1"/>
    <s v="Ismailia"/>
    <d v="2024-09-20T00:00:00"/>
    <n v="1.3944444444444444"/>
    <n v="5722"/>
    <x v="3"/>
    <x v="1"/>
  </r>
  <r>
    <n v="59393"/>
    <s v="Emp 833"/>
    <s v="29804281761753"/>
    <x v="3"/>
    <x v="0"/>
    <d v="1998-04-28T00:00:00"/>
    <n v="27.788888888888888"/>
    <x v="1"/>
    <x v="1"/>
    <x v="1"/>
    <s v="Monufia"/>
    <d v="2024-09-21T00:00:00"/>
    <n v="1.3916666666666666"/>
    <n v="5936"/>
    <x v="3"/>
    <x v="1"/>
  </r>
  <r>
    <n v="57789"/>
    <s v="Emp 834"/>
    <s v="28810131756121"/>
    <x v="5"/>
    <x v="1"/>
    <d v="1988-10-13T00:00:00"/>
    <n v="37.330555555555556"/>
    <x v="0"/>
    <x v="1"/>
    <x v="2"/>
    <s v="Monufia"/>
    <d v="2024-09-22T00:00:00"/>
    <n v="1.3888888888888888"/>
    <n v="3501"/>
    <x v="3"/>
    <x v="1"/>
  </r>
  <r>
    <n v="54371"/>
    <s v="Emp 835"/>
    <s v="29605031951926"/>
    <x v="4"/>
    <x v="1"/>
    <d v="1996-05-03T00:00:00"/>
    <n v="29.774999999999999"/>
    <x v="0"/>
    <x v="0"/>
    <x v="0"/>
    <s v="Ismailia"/>
    <d v="2024-09-23T00:00:00"/>
    <n v="1.3861111111111111"/>
    <n v="24664"/>
    <x v="3"/>
    <x v="0"/>
  </r>
  <r>
    <n v="57713"/>
    <s v="Emp 836"/>
    <s v="29112071374479"/>
    <x v="9"/>
    <x v="0"/>
    <d v="1991-12-07T00:00:00"/>
    <n v="34.180555555555557"/>
    <x v="1"/>
    <x v="1"/>
    <x v="3"/>
    <s v="Sharqia"/>
    <d v="2024-09-24T00:00:00"/>
    <n v="1.3833333333333333"/>
    <n v="5775"/>
    <x v="3"/>
    <x v="1"/>
  </r>
  <r>
    <n v="53198"/>
    <s v="Emp 837"/>
    <s v="29202081953412"/>
    <x v="4"/>
    <x v="0"/>
    <d v="1992-02-08T00:00:00"/>
    <n v="34.011111111111113"/>
    <x v="0"/>
    <x v="1"/>
    <x v="4"/>
    <s v="Ismailia"/>
    <d v="2024-09-25T00:00:00"/>
    <n v="1.3805555555555555"/>
    <n v="4277"/>
    <x v="3"/>
    <x v="1"/>
  </r>
  <r>
    <n v="57008"/>
    <s v="Emp 838"/>
    <s v="30102170184953"/>
    <x v="5"/>
    <x v="0"/>
    <d v="2001-02-17T00:00:00"/>
    <n v="24.986111111111111"/>
    <x v="1"/>
    <x v="1"/>
    <x v="0"/>
    <s v="Cairo"/>
    <d v="2024-09-26T00:00:00"/>
    <n v="1.3777777777777778"/>
    <n v="6361"/>
    <x v="3"/>
    <x v="0"/>
  </r>
  <r>
    <n v="52521"/>
    <s v="Emp 839"/>
    <s v="28207231376468"/>
    <x v="0"/>
    <x v="1"/>
    <d v="1982-07-23T00:00:00"/>
    <n v="43.552777777777777"/>
    <x v="1"/>
    <x v="1"/>
    <x v="0"/>
    <s v="Sharqia"/>
    <d v="2024-09-27T00:00:00"/>
    <n v="1.375"/>
    <n v="4998"/>
    <x v="3"/>
    <x v="1"/>
  </r>
  <r>
    <n v="59554"/>
    <s v="Emp 840"/>
    <s v="30204240162839"/>
    <x v="0"/>
    <x v="0"/>
    <d v="2002-04-24T00:00:00"/>
    <n v="23.8"/>
    <x v="1"/>
    <x v="1"/>
    <x v="1"/>
    <s v="Cairo"/>
    <d v="2024-09-28T00:00:00"/>
    <n v="1.3722222222222222"/>
    <n v="5508"/>
    <x v="3"/>
    <x v="1"/>
  </r>
  <r>
    <n v="50945"/>
    <s v="Emp 841"/>
    <s v="29310061771483"/>
    <x v="2"/>
    <x v="1"/>
    <d v="1993-10-06T00:00:00"/>
    <n v="32.35"/>
    <x v="0"/>
    <x v="2"/>
    <x v="2"/>
    <s v="Monufia"/>
    <d v="2024-09-29T00:00:00"/>
    <n v="1.3694444444444445"/>
    <n v="14696"/>
    <x v="3"/>
    <x v="0"/>
  </r>
  <r>
    <n v="51482"/>
    <s v="Emp 842"/>
    <s v="30303141755267"/>
    <x v="6"/>
    <x v="1"/>
    <d v="2003-03-14T00:00:00"/>
    <n v="22.911111111111111"/>
    <x v="1"/>
    <x v="2"/>
    <x v="2"/>
    <s v="Monufia"/>
    <d v="2024-09-30T00:00:00"/>
    <n v="1.3666666666666667"/>
    <n v="13987"/>
    <x v="3"/>
    <x v="0"/>
  </r>
  <r>
    <n v="50240"/>
    <s v="Emp 843"/>
    <s v="29004031384423"/>
    <x v="8"/>
    <x v="1"/>
    <d v="1990-04-03T00:00:00"/>
    <n v="35.858333333333334"/>
    <x v="1"/>
    <x v="1"/>
    <x v="0"/>
    <s v="Sharqia"/>
    <d v="2024-10-01T00:00:00"/>
    <n v="1.3638888888888889"/>
    <n v="4566"/>
    <x v="4"/>
    <x v="1"/>
  </r>
  <r>
    <n v="52183"/>
    <s v="Emp 844"/>
    <s v="28407061376239"/>
    <x v="4"/>
    <x v="0"/>
    <d v="1984-07-06T00:00:00"/>
    <n v="41.6"/>
    <x v="1"/>
    <x v="0"/>
    <x v="3"/>
    <s v="Sharqia"/>
    <d v="2024-10-02T00:00:00"/>
    <n v="1.3611111111111112"/>
    <n v="24507"/>
    <x v="4"/>
    <x v="0"/>
  </r>
  <r>
    <n v="52009"/>
    <s v="Emp 845"/>
    <s v="29405101380779"/>
    <x v="4"/>
    <x v="0"/>
    <d v="1994-05-10T00:00:00"/>
    <n v="31.755555555555556"/>
    <x v="1"/>
    <x v="1"/>
    <x v="2"/>
    <s v="Sharqia"/>
    <d v="2024-10-03T00:00:00"/>
    <n v="1.3583333333333334"/>
    <n v="3496"/>
    <x v="4"/>
    <x v="1"/>
  </r>
  <r>
    <n v="54915"/>
    <s v="Emp 846"/>
    <s v="28512171359395"/>
    <x v="5"/>
    <x v="0"/>
    <d v="1985-12-17T00:00:00"/>
    <n v="40.152777777777779"/>
    <x v="0"/>
    <x v="1"/>
    <x v="4"/>
    <s v="Sharqia"/>
    <d v="2024-10-04T00:00:00"/>
    <n v="1.3555555555555556"/>
    <n v="4126"/>
    <x v="4"/>
    <x v="1"/>
  </r>
  <r>
    <n v="52551"/>
    <s v="Emp 847"/>
    <s v="28406171976021"/>
    <x v="4"/>
    <x v="1"/>
    <d v="1984-06-17T00:00:00"/>
    <n v="41.652777777777779"/>
    <x v="1"/>
    <x v="1"/>
    <x v="4"/>
    <s v="Ismailia"/>
    <d v="2024-10-05T00:00:00"/>
    <n v="1.3527777777777779"/>
    <n v="4827"/>
    <x v="4"/>
    <x v="1"/>
  </r>
  <r>
    <n v="53024"/>
    <s v="Emp 848"/>
    <s v="30304041964038"/>
    <x v="5"/>
    <x v="0"/>
    <d v="2003-04-04T00:00:00"/>
    <n v="22.855555555555554"/>
    <x v="0"/>
    <x v="1"/>
    <x v="1"/>
    <s v="Ismailia"/>
    <d v="2024-10-06T00:00:00"/>
    <n v="1.35"/>
    <n v="5422"/>
    <x v="4"/>
    <x v="1"/>
  </r>
  <r>
    <n v="53300"/>
    <s v="Emp 849"/>
    <s v="28906061959026"/>
    <x v="7"/>
    <x v="1"/>
    <d v="1989-06-06T00:00:00"/>
    <n v="36.68333333333333"/>
    <x v="1"/>
    <x v="2"/>
    <x v="2"/>
    <s v="Ismailia"/>
    <d v="2024-10-07T00:00:00"/>
    <n v="1.3472222222222223"/>
    <n v="14492"/>
    <x v="4"/>
    <x v="0"/>
  </r>
  <r>
    <n v="50837"/>
    <s v="Emp 850"/>
    <s v="28906040277415"/>
    <x v="9"/>
    <x v="0"/>
    <d v="1989-06-04T00:00:00"/>
    <n v="36.68888888888889"/>
    <x v="1"/>
    <x v="1"/>
    <x v="2"/>
    <s v="Alexandria"/>
    <d v="2024-10-08T00:00:00"/>
    <n v="1.3444444444444446"/>
    <n v="4002"/>
    <x v="4"/>
    <x v="1"/>
  </r>
  <r>
    <n v="59783"/>
    <s v="Emp 851"/>
    <s v="29805191381537"/>
    <x v="1"/>
    <x v="0"/>
    <d v="1998-05-19T00:00:00"/>
    <n v="27.730555555555554"/>
    <x v="1"/>
    <x v="1"/>
    <x v="2"/>
    <s v="Sharqia"/>
    <d v="2024-10-09T00:00:00"/>
    <n v="1.3416666666666666"/>
    <n v="4582"/>
    <x v="4"/>
    <x v="1"/>
  </r>
  <r>
    <n v="51716"/>
    <s v="Emp 852"/>
    <s v="28412120180625"/>
    <x v="4"/>
    <x v="1"/>
    <d v="1984-12-12T00:00:00"/>
    <n v="41.166666666666664"/>
    <x v="0"/>
    <x v="1"/>
    <x v="0"/>
    <s v="Cairo"/>
    <d v="2024-10-10T00:00:00"/>
    <n v="1.3388888888888888"/>
    <n v="6837"/>
    <x v="4"/>
    <x v="0"/>
  </r>
  <r>
    <n v="50297"/>
    <s v="Emp 853"/>
    <s v="29411040261635"/>
    <x v="9"/>
    <x v="0"/>
    <d v="1994-11-04T00:00:00"/>
    <n v="31.272222222222222"/>
    <x v="1"/>
    <x v="0"/>
    <x v="2"/>
    <s v="Alexandria"/>
    <d v="2024-10-11T00:00:00"/>
    <n v="1.336111111111111"/>
    <n v="18238"/>
    <x v="4"/>
    <x v="0"/>
  </r>
  <r>
    <n v="54676"/>
    <s v="Emp 854"/>
    <s v="28408062158241"/>
    <x v="9"/>
    <x v="1"/>
    <d v="1984-08-06T00:00:00"/>
    <n v="41.516666666666666"/>
    <x v="0"/>
    <x v="1"/>
    <x v="4"/>
    <s v="Giza"/>
    <d v="2024-10-12T00:00:00"/>
    <n v="1.3333333333333333"/>
    <n v="4867"/>
    <x v="4"/>
    <x v="1"/>
  </r>
  <r>
    <n v="53167"/>
    <s v="Emp 855"/>
    <s v="29207281751553"/>
    <x v="0"/>
    <x v="0"/>
    <d v="1992-07-28T00:00:00"/>
    <n v="33.538888888888891"/>
    <x v="1"/>
    <x v="1"/>
    <x v="3"/>
    <s v="Monufia"/>
    <d v="2024-10-13T00:00:00"/>
    <n v="1.3305555555555555"/>
    <n v="3008"/>
    <x v="4"/>
    <x v="1"/>
  </r>
  <r>
    <n v="53020"/>
    <s v="Emp 856"/>
    <s v="29901062153395"/>
    <x v="1"/>
    <x v="0"/>
    <d v="1999-01-06T00:00:00"/>
    <n v="27.1"/>
    <x v="1"/>
    <x v="2"/>
    <x v="1"/>
    <s v="Giza"/>
    <d v="2024-10-14T00:00:00"/>
    <n v="1.3277777777777777"/>
    <n v="10576"/>
    <x v="4"/>
    <x v="0"/>
  </r>
  <r>
    <n v="57396"/>
    <s v="Emp 857"/>
    <s v="29710052190079"/>
    <x v="8"/>
    <x v="0"/>
    <d v="1997-10-05T00:00:00"/>
    <n v="28.352777777777778"/>
    <x v="1"/>
    <x v="1"/>
    <x v="0"/>
    <s v="Giza"/>
    <d v="2024-10-15T00:00:00"/>
    <n v="1.325"/>
    <n v="3309"/>
    <x v="4"/>
    <x v="1"/>
  </r>
  <r>
    <n v="54763"/>
    <s v="Emp 858"/>
    <s v="29810071753266"/>
    <x v="4"/>
    <x v="1"/>
    <d v="1998-10-07T00:00:00"/>
    <n v="27.347222222222221"/>
    <x v="0"/>
    <x v="1"/>
    <x v="1"/>
    <s v="Monufia"/>
    <d v="2024-10-16T00:00:00"/>
    <n v="1.3222222222222222"/>
    <n v="4472"/>
    <x v="4"/>
    <x v="1"/>
  </r>
  <r>
    <n v="59000"/>
    <s v="Emp 859"/>
    <s v="30307270186123"/>
    <x v="7"/>
    <x v="1"/>
    <d v="2003-07-27T00:00:00"/>
    <n v="22.541666666666668"/>
    <x v="1"/>
    <x v="1"/>
    <x v="0"/>
    <s v="Cairo"/>
    <d v="2024-10-17T00:00:00"/>
    <n v="1.3194444444444444"/>
    <n v="4661"/>
    <x v="4"/>
    <x v="1"/>
  </r>
  <r>
    <n v="56680"/>
    <s v="Emp 860"/>
    <s v="29102210154038"/>
    <x v="4"/>
    <x v="0"/>
    <d v="1991-02-21T00:00:00"/>
    <n v="34.975000000000001"/>
    <x v="1"/>
    <x v="1"/>
    <x v="4"/>
    <s v="Cairo"/>
    <d v="2024-10-18T00:00:00"/>
    <n v="1.3166666666666667"/>
    <n v="4209"/>
    <x v="4"/>
    <x v="1"/>
  </r>
  <r>
    <n v="50278"/>
    <s v="Emp 861"/>
    <s v="30202101760722"/>
    <x v="7"/>
    <x v="1"/>
    <d v="2002-02-10T00:00:00"/>
    <n v="24.005555555555556"/>
    <x v="0"/>
    <x v="0"/>
    <x v="0"/>
    <s v="Monufia"/>
    <d v="2024-10-19T00:00:00"/>
    <n v="1.3138888888888889"/>
    <n v="20905"/>
    <x v="4"/>
    <x v="0"/>
  </r>
  <r>
    <n v="51669"/>
    <s v="Emp 862"/>
    <s v="28204090176696"/>
    <x v="9"/>
    <x v="0"/>
    <d v="1982-04-09T00:00:00"/>
    <n v="43.841666666666669"/>
    <x v="1"/>
    <x v="1"/>
    <x v="1"/>
    <s v="Cairo"/>
    <d v="2024-10-20T00:00:00"/>
    <n v="1.3111111111111111"/>
    <n v="6762"/>
    <x v="4"/>
    <x v="0"/>
  </r>
  <r>
    <n v="52276"/>
    <s v="Emp 863"/>
    <s v="29809131789524"/>
    <x v="3"/>
    <x v="1"/>
    <d v="1998-09-13T00:00:00"/>
    <n v="27.413888888888888"/>
    <x v="1"/>
    <x v="1"/>
    <x v="4"/>
    <s v="Monufia"/>
    <d v="2024-10-21T00:00:00"/>
    <n v="1.3083333333333333"/>
    <n v="6316"/>
    <x v="4"/>
    <x v="0"/>
  </r>
  <r>
    <n v="52341"/>
    <s v="Emp 864"/>
    <s v="29404270167334"/>
    <x v="6"/>
    <x v="0"/>
    <d v="1994-04-27T00:00:00"/>
    <n v="31.791666666666668"/>
    <x v="0"/>
    <x v="1"/>
    <x v="2"/>
    <s v="Cairo"/>
    <d v="2024-10-22T00:00:00"/>
    <n v="1.3055555555555556"/>
    <n v="5913"/>
    <x v="4"/>
    <x v="1"/>
  </r>
  <r>
    <n v="57286"/>
    <s v="Emp 865"/>
    <s v="30302061775379"/>
    <x v="4"/>
    <x v="0"/>
    <d v="2003-02-06T00:00:00"/>
    <n v="23.016666666666666"/>
    <x v="0"/>
    <x v="0"/>
    <x v="2"/>
    <s v="Monufia"/>
    <d v="2024-10-23T00:00:00"/>
    <n v="1.3027777777777778"/>
    <n v="25572"/>
    <x v="4"/>
    <x v="0"/>
  </r>
  <r>
    <n v="52957"/>
    <s v="Emp 866"/>
    <s v="30301210170439"/>
    <x v="8"/>
    <x v="0"/>
    <d v="2003-01-21T00:00:00"/>
    <n v="23.058333333333334"/>
    <x v="0"/>
    <x v="0"/>
    <x v="2"/>
    <s v="Cairo"/>
    <d v="2024-10-24T00:00:00"/>
    <n v="1.3"/>
    <n v="21805"/>
    <x v="4"/>
    <x v="0"/>
  </r>
  <r>
    <n v="53582"/>
    <s v="Emp 867"/>
    <s v="28807111367587"/>
    <x v="4"/>
    <x v="1"/>
    <d v="1988-07-11T00:00:00"/>
    <n v="37.586111111111109"/>
    <x v="0"/>
    <x v="0"/>
    <x v="3"/>
    <s v="Sharqia"/>
    <d v="2024-10-25T00:00:00"/>
    <n v="1.2972222222222223"/>
    <n v="27853"/>
    <x v="4"/>
    <x v="0"/>
  </r>
  <r>
    <n v="52524"/>
    <s v="Emp 868"/>
    <s v="29903162190048"/>
    <x v="1"/>
    <x v="1"/>
    <d v="1999-03-16T00:00:00"/>
    <n v="26.905555555555555"/>
    <x v="1"/>
    <x v="2"/>
    <x v="3"/>
    <s v="Giza"/>
    <d v="2024-10-26T00:00:00"/>
    <n v="1.2944444444444445"/>
    <n v="14412"/>
    <x v="4"/>
    <x v="0"/>
  </r>
  <r>
    <n v="52567"/>
    <s v="Emp 869"/>
    <s v="29509140266197"/>
    <x v="2"/>
    <x v="0"/>
    <d v="1995-09-14T00:00:00"/>
    <n v="30.411111111111111"/>
    <x v="1"/>
    <x v="1"/>
    <x v="0"/>
    <s v="Alexandria"/>
    <d v="2024-10-27T00:00:00"/>
    <n v="1.2916666666666667"/>
    <n v="4992"/>
    <x v="4"/>
    <x v="1"/>
  </r>
  <r>
    <n v="53275"/>
    <s v="Emp 870"/>
    <s v="29208130188724"/>
    <x v="8"/>
    <x v="1"/>
    <d v="1992-08-13T00:00:00"/>
    <n v="33.49722222222222"/>
    <x v="0"/>
    <x v="0"/>
    <x v="0"/>
    <s v="Cairo"/>
    <d v="2024-10-28T00:00:00"/>
    <n v="1.288888888888889"/>
    <n v="20880"/>
    <x v="4"/>
    <x v="0"/>
  </r>
  <r>
    <n v="59934"/>
    <s v="Emp 871"/>
    <s v="29106271959871"/>
    <x v="5"/>
    <x v="0"/>
    <d v="1991-06-27T00:00:00"/>
    <n v="34.625"/>
    <x v="1"/>
    <x v="1"/>
    <x v="3"/>
    <s v="Ismailia"/>
    <d v="2024-10-29T00:00:00"/>
    <n v="1.2861111111111112"/>
    <n v="5888"/>
    <x v="4"/>
    <x v="1"/>
  </r>
  <r>
    <n v="59322"/>
    <s v="Emp 872"/>
    <s v="29302282190334"/>
    <x v="3"/>
    <x v="0"/>
    <d v="1993-02-28T00:00:00"/>
    <n v="32.950000000000003"/>
    <x v="0"/>
    <x v="1"/>
    <x v="1"/>
    <s v="Giza"/>
    <d v="2024-10-30T00:00:00"/>
    <n v="1.2833333333333334"/>
    <n v="4140"/>
    <x v="4"/>
    <x v="1"/>
  </r>
  <r>
    <n v="56679"/>
    <s v="Emp 873"/>
    <s v="28203220157666"/>
    <x v="6"/>
    <x v="1"/>
    <d v="1982-03-22T00:00:00"/>
    <n v="43.888888888888886"/>
    <x v="1"/>
    <x v="1"/>
    <x v="3"/>
    <s v="Cairo"/>
    <d v="2024-10-31T00:00:00"/>
    <n v="1.2833333333333334"/>
    <n v="6913"/>
    <x v="4"/>
    <x v="0"/>
  </r>
  <r>
    <n v="56510"/>
    <s v="Emp 874"/>
    <s v="29203130173462"/>
    <x v="5"/>
    <x v="1"/>
    <d v="1992-03-13T00:00:00"/>
    <n v="33.913888888888891"/>
    <x v="0"/>
    <x v="1"/>
    <x v="3"/>
    <s v="Cairo"/>
    <d v="2024-11-01T00:00:00"/>
    <n v="1.2805555555555554"/>
    <n v="3380"/>
    <x v="5"/>
    <x v="1"/>
  </r>
  <r>
    <n v="51108"/>
    <s v="Emp 875"/>
    <s v="28301120189719"/>
    <x v="5"/>
    <x v="0"/>
    <d v="1983-01-12T00:00:00"/>
    <n v="43.083333333333336"/>
    <x v="0"/>
    <x v="2"/>
    <x v="4"/>
    <s v="Cairo"/>
    <d v="2024-11-02T00:00:00"/>
    <n v="1.2777777777777777"/>
    <n v="14169"/>
    <x v="5"/>
    <x v="0"/>
  </r>
  <r>
    <n v="50841"/>
    <s v="Emp 876"/>
    <s v="28706280260423"/>
    <x v="3"/>
    <x v="1"/>
    <d v="1987-06-28T00:00:00"/>
    <n v="38.62222222222222"/>
    <x v="0"/>
    <x v="1"/>
    <x v="3"/>
    <s v="Alexandria"/>
    <d v="2024-11-03T00:00:00"/>
    <n v="1.2749999999999999"/>
    <n v="6477"/>
    <x v="5"/>
    <x v="0"/>
  </r>
  <r>
    <n v="57628"/>
    <s v="Emp 877"/>
    <s v="29610041390886"/>
    <x v="5"/>
    <x v="1"/>
    <d v="1996-10-04T00:00:00"/>
    <n v="29.355555555555554"/>
    <x v="1"/>
    <x v="1"/>
    <x v="3"/>
    <s v="Sharqia"/>
    <d v="2024-11-04T00:00:00"/>
    <n v="1.2722222222222221"/>
    <n v="6628"/>
    <x v="5"/>
    <x v="0"/>
  </r>
  <r>
    <n v="53925"/>
    <s v="Emp 878"/>
    <s v="30101222162882"/>
    <x v="5"/>
    <x v="1"/>
    <d v="2001-01-22T00:00:00"/>
    <n v="25.055555555555557"/>
    <x v="0"/>
    <x v="1"/>
    <x v="3"/>
    <s v="Giza"/>
    <d v="2024-11-05T00:00:00"/>
    <n v="1.2694444444444444"/>
    <n v="3597"/>
    <x v="5"/>
    <x v="1"/>
  </r>
  <r>
    <n v="57243"/>
    <s v="Emp 879"/>
    <s v="29608090171793"/>
    <x v="0"/>
    <x v="0"/>
    <d v="1996-08-09T00:00:00"/>
    <n v="29.508333333333333"/>
    <x v="0"/>
    <x v="2"/>
    <x v="0"/>
    <s v="Cairo"/>
    <d v="2024-11-06T00:00:00"/>
    <n v="1.2666666666666666"/>
    <n v="13430"/>
    <x v="5"/>
    <x v="0"/>
  </r>
  <r>
    <n v="50094"/>
    <s v="Emp 880"/>
    <s v="29805081777137"/>
    <x v="3"/>
    <x v="0"/>
    <d v="1998-05-08T00:00:00"/>
    <n v="27.761111111111113"/>
    <x v="0"/>
    <x v="0"/>
    <x v="4"/>
    <s v="Monufia"/>
    <d v="2024-11-07T00:00:00"/>
    <n v="1.2638888888888888"/>
    <n v="20232"/>
    <x v="5"/>
    <x v="0"/>
  </r>
  <r>
    <n v="52179"/>
    <s v="Emp 881"/>
    <s v="29901261777269"/>
    <x v="6"/>
    <x v="1"/>
    <d v="1999-01-26T00:00:00"/>
    <n v="27.044444444444444"/>
    <x v="0"/>
    <x v="1"/>
    <x v="0"/>
    <s v="Monufia"/>
    <d v="2024-11-08T00:00:00"/>
    <n v="1.2611111111111111"/>
    <n v="5720"/>
    <x v="5"/>
    <x v="1"/>
  </r>
  <r>
    <n v="50278"/>
    <s v="Emp 882"/>
    <s v="29701041353795"/>
    <x v="6"/>
    <x v="0"/>
    <d v="1997-01-04T00:00:00"/>
    <n v="29.105555555555554"/>
    <x v="1"/>
    <x v="1"/>
    <x v="1"/>
    <s v="Sharqia"/>
    <d v="2024-11-09T00:00:00"/>
    <n v="1.2583333333333333"/>
    <n v="4800"/>
    <x v="5"/>
    <x v="1"/>
  </r>
  <r>
    <n v="54506"/>
    <s v="Emp 883"/>
    <s v="29307141754171"/>
    <x v="8"/>
    <x v="0"/>
    <d v="1993-07-14T00:00:00"/>
    <n v="32.577777777777776"/>
    <x v="1"/>
    <x v="1"/>
    <x v="4"/>
    <s v="Monufia"/>
    <d v="2024-11-10T00:00:00"/>
    <n v="1.2555555555555555"/>
    <n v="6079"/>
    <x v="5"/>
    <x v="0"/>
  </r>
  <r>
    <n v="54025"/>
    <s v="Emp 884"/>
    <s v="28907071365211"/>
    <x v="0"/>
    <x v="0"/>
    <d v="1989-07-07T00:00:00"/>
    <n v="36.597222222222221"/>
    <x v="1"/>
    <x v="1"/>
    <x v="3"/>
    <s v="Sharqia"/>
    <d v="2024-11-11T00:00:00"/>
    <n v="1.2527777777777778"/>
    <n v="5338"/>
    <x v="5"/>
    <x v="1"/>
  </r>
  <r>
    <n v="54139"/>
    <s v="Emp 885"/>
    <s v="28409091762176"/>
    <x v="3"/>
    <x v="0"/>
    <d v="1984-09-09T00:00:00"/>
    <n v="41.424999999999997"/>
    <x v="0"/>
    <x v="0"/>
    <x v="4"/>
    <s v="Monufia"/>
    <d v="2024-11-12T00:00:00"/>
    <n v="1.25"/>
    <n v="19307"/>
    <x v="5"/>
    <x v="0"/>
  </r>
  <r>
    <n v="52094"/>
    <s v="Emp 886"/>
    <s v="29307071956066"/>
    <x v="7"/>
    <x v="1"/>
    <d v="1993-07-07T00:00:00"/>
    <n v="32.597222222222221"/>
    <x v="0"/>
    <x v="1"/>
    <x v="1"/>
    <s v="Ismailia"/>
    <d v="2024-11-13T00:00:00"/>
    <n v="1.2472222222222222"/>
    <n v="3757"/>
    <x v="5"/>
    <x v="1"/>
  </r>
  <r>
    <n v="53774"/>
    <s v="Emp 887"/>
    <s v="28306012182732"/>
    <x v="9"/>
    <x v="0"/>
    <d v="1983-06-01T00:00:00"/>
    <n v="42.697222222222223"/>
    <x v="0"/>
    <x v="1"/>
    <x v="1"/>
    <s v="Giza"/>
    <d v="2024-11-14T00:00:00"/>
    <n v="1.2444444444444445"/>
    <n v="4111"/>
    <x v="5"/>
    <x v="1"/>
  </r>
  <r>
    <n v="57712"/>
    <s v="Emp 888"/>
    <s v="29901080173132"/>
    <x v="4"/>
    <x v="0"/>
    <d v="1999-01-08T00:00:00"/>
    <n v="27.094444444444445"/>
    <x v="0"/>
    <x v="0"/>
    <x v="1"/>
    <s v="Cairo"/>
    <d v="2024-11-15T00:00:00"/>
    <n v="1.2416666666666667"/>
    <n v="22532"/>
    <x v="5"/>
    <x v="0"/>
  </r>
  <r>
    <n v="58407"/>
    <s v="Emp 889"/>
    <s v="29706091764994"/>
    <x v="4"/>
    <x v="0"/>
    <d v="1997-06-09T00:00:00"/>
    <n v="28.675000000000001"/>
    <x v="0"/>
    <x v="1"/>
    <x v="2"/>
    <s v="Monufia"/>
    <d v="2024-11-16T00:00:00"/>
    <n v="1.2388888888888889"/>
    <n v="3635"/>
    <x v="5"/>
    <x v="1"/>
  </r>
  <r>
    <n v="51921"/>
    <s v="Emp 890"/>
    <s v="28708020151884"/>
    <x v="8"/>
    <x v="1"/>
    <d v="1987-08-02T00:00:00"/>
    <n v="38.527777777777779"/>
    <x v="1"/>
    <x v="1"/>
    <x v="4"/>
    <s v="Cairo"/>
    <d v="2024-11-17T00:00:00"/>
    <n v="1.2361111111111112"/>
    <n v="4381"/>
    <x v="5"/>
    <x v="1"/>
  </r>
  <r>
    <n v="55324"/>
    <s v="Emp 891"/>
    <s v="28703221375712"/>
    <x v="5"/>
    <x v="0"/>
    <d v="1987-03-22T00:00:00"/>
    <n v="38.888888888888886"/>
    <x v="0"/>
    <x v="1"/>
    <x v="3"/>
    <s v="Sharqia"/>
    <d v="2024-11-18T00:00:00"/>
    <n v="1.2333333333333334"/>
    <n v="3207"/>
    <x v="5"/>
    <x v="1"/>
  </r>
  <r>
    <n v="58491"/>
    <s v="Emp 892"/>
    <s v="29910021766089"/>
    <x v="7"/>
    <x v="1"/>
    <d v="1999-10-02T00:00:00"/>
    <n v="26.361111111111111"/>
    <x v="0"/>
    <x v="0"/>
    <x v="0"/>
    <s v="Monufia"/>
    <d v="2024-11-19T00:00:00"/>
    <n v="1.2305555555555556"/>
    <n v="20815"/>
    <x v="5"/>
    <x v="0"/>
  </r>
  <r>
    <n v="54036"/>
    <s v="Emp 893"/>
    <s v="29311241383733"/>
    <x v="5"/>
    <x v="0"/>
    <d v="1993-11-24T00:00:00"/>
    <n v="32.216666666666669"/>
    <x v="1"/>
    <x v="1"/>
    <x v="0"/>
    <s v="Sharqia"/>
    <d v="2024-11-20T00:00:00"/>
    <n v="1.2277777777777779"/>
    <n v="6458"/>
    <x v="5"/>
    <x v="0"/>
  </r>
  <r>
    <n v="52783"/>
    <s v="Emp 894"/>
    <s v="30104061385332"/>
    <x v="4"/>
    <x v="0"/>
    <d v="2001-04-06T00:00:00"/>
    <n v="24.85"/>
    <x v="0"/>
    <x v="2"/>
    <x v="2"/>
    <s v="Sharqia"/>
    <d v="2024-11-21T00:00:00"/>
    <n v="1.2250000000000001"/>
    <n v="11281"/>
    <x v="5"/>
    <x v="0"/>
  </r>
  <r>
    <n v="53521"/>
    <s v="Emp 895"/>
    <s v="29607151982855"/>
    <x v="3"/>
    <x v="0"/>
    <d v="1996-07-15T00:00:00"/>
    <n v="29.574999999999999"/>
    <x v="1"/>
    <x v="1"/>
    <x v="3"/>
    <s v="Ismailia"/>
    <d v="2024-11-22T00:00:00"/>
    <n v="1.2222222222222223"/>
    <n v="4633"/>
    <x v="5"/>
    <x v="1"/>
  </r>
  <r>
    <n v="59576"/>
    <s v="Emp 896"/>
    <s v="28403191368264"/>
    <x v="6"/>
    <x v="1"/>
    <d v="1984-03-19T00:00:00"/>
    <n v="41.897222222222226"/>
    <x v="1"/>
    <x v="1"/>
    <x v="3"/>
    <s v="Sharqia"/>
    <d v="2024-11-23T00:00:00"/>
    <n v="1.2194444444444446"/>
    <n v="5425"/>
    <x v="5"/>
    <x v="1"/>
  </r>
  <r>
    <n v="55030"/>
    <s v="Emp 897"/>
    <s v="28312160177078"/>
    <x v="5"/>
    <x v="0"/>
    <d v="1983-12-16T00:00:00"/>
    <n v="42.155555555555559"/>
    <x v="0"/>
    <x v="2"/>
    <x v="0"/>
    <s v="Cairo"/>
    <d v="2024-11-24T00:00:00"/>
    <n v="1.2166666666666666"/>
    <n v="11489"/>
    <x v="5"/>
    <x v="0"/>
  </r>
  <r>
    <n v="51298"/>
    <s v="Emp 898"/>
    <s v="29908170290639"/>
    <x v="9"/>
    <x v="0"/>
    <d v="1999-08-17T00:00:00"/>
    <n v="26.486111111111111"/>
    <x v="0"/>
    <x v="0"/>
    <x v="1"/>
    <s v="Alexandria"/>
    <d v="2024-11-25T00:00:00"/>
    <n v="1.2138888888888888"/>
    <n v="26244"/>
    <x v="5"/>
    <x v="0"/>
  </r>
  <r>
    <n v="52296"/>
    <s v="Emp 899"/>
    <s v="29702251968493"/>
    <x v="4"/>
    <x v="0"/>
    <d v="1997-02-25T00:00:00"/>
    <n v="28.963888888888889"/>
    <x v="0"/>
    <x v="1"/>
    <x v="3"/>
    <s v="Ismailia"/>
    <d v="2024-11-26T00:00:00"/>
    <n v="1.211111111111111"/>
    <n v="6902"/>
    <x v="5"/>
    <x v="0"/>
  </r>
  <r>
    <n v="54605"/>
    <s v="Emp 900"/>
    <s v="29211231763213"/>
    <x v="2"/>
    <x v="0"/>
    <d v="1992-11-23T00:00:00"/>
    <n v="33.219444444444441"/>
    <x v="0"/>
    <x v="1"/>
    <x v="2"/>
    <s v="Monufia"/>
    <d v="2024-11-27T00:00:00"/>
    <n v="1.2083333333333333"/>
    <n v="5441"/>
    <x v="5"/>
    <x v="1"/>
  </r>
  <r>
    <n v="53694"/>
    <s v="Emp 901"/>
    <s v="30101022183378"/>
    <x v="2"/>
    <x v="0"/>
    <d v="2001-01-02T00:00:00"/>
    <n v="25.111111111111111"/>
    <x v="1"/>
    <x v="1"/>
    <x v="4"/>
    <s v="Giza"/>
    <d v="2024-11-28T00:00:00"/>
    <n v="1.2055555555555555"/>
    <n v="6669"/>
    <x v="5"/>
    <x v="0"/>
  </r>
  <r>
    <n v="57060"/>
    <s v="Emp 902"/>
    <s v="29810031990263"/>
    <x v="5"/>
    <x v="1"/>
    <d v="1998-10-03T00:00:00"/>
    <n v="27.358333333333334"/>
    <x v="0"/>
    <x v="2"/>
    <x v="1"/>
    <s v="Ismailia"/>
    <d v="2024-11-29T00:00:00"/>
    <n v="1.2027777777777777"/>
    <n v="10986"/>
    <x v="5"/>
    <x v="0"/>
  </r>
  <r>
    <n v="56518"/>
    <s v="Emp 903"/>
    <s v="29906282155323"/>
    <x v="3"/>
    <x v="1"/>
    <d v="1999-06-28T00:00:00"/>
    <n v="26.622222222222224"/>
    <x v="0"/>
    <x v="1"/>
    <x v="1"/>
    <s v="Giza"/>
    <d v="2024-11-30T00:00:00"/>
    <n v="1.2"/>
    <n v="4303"/>
    <x v="5"/>
    <x v="1"/>
  </r>
  <r>
    <n v="59124"/>
    <s v="Emp 904"/>
    <s v="28908021765762"/>
    <x v="9"/>
    <x v="1"/>
    <d v="1989-08-02T00:00:00"/>
    <n v="36.527777777777779"/>
    <x v="1"/>
    <x v="1"/>
    <x v="2"/>
    <s v="Monufia"/>
    <d v="2024-12-01T00:00:00"/>
    <n v="1.1972222222222222"/>
    <n v="3038"/>
    <x v="6"/>
    <x v="1"/>
  </r>
  <r>
    <n v="55272"/>
    <s v="Emp 905"/>
    <s v="28207192169615"/>
    <x v="4"/>
    <x v="0"/>
    <d v="1982-07-19T00:00:00"/>
    <n v="43.56388888888889"/>
    <x v="0"/>
    <x v="2"/>
    <x v="0"/>
    <s v="Giza"/>
    <d v="2024-12-02T00:00:00"/>
    <n v="1.1944444444444444"/>
    <n v="10432"/>
    <x v="6"/>
    <x v="0"/>
  </r>
  <r>
    <n v="58821"/>
    <s v="Emp 906"/>
    <s v="29502191355215"/>
    <x v="9"/>
    <x v="0"/>
    <d v="1995-02-19T00:00:00"/>
    <n v="30.980555555555554"/>
    <x v="1"/>
    <x v="2"/>
    <x v="2"/>
    <s v="Sharqia"/>
    <d v="2024-12-03T00:00:00"/>
    <n v="1.1916666666666667"/>
    <n v="14492"/>
    <x v="6"/>
    <x v="0"/>
  </r>
  <r>
    <n v="51413"/>
    <s v="Emp 907"/>
    <s v="29708160175995"/>
    <x v="1"/>
    <x v="0"/>
    <d v="1997-08-16T00:00:00"/>
    <n v="28.488888888888887"/>
    <x v="0"/>
    <x v="0"/>
    <x v="4"/>
    <s v="Cairo"/>
    <d v="2024-12-04T00:00:00"/>
    <n v="1.1888888888888889"/>
    <n v="29166"/>
    <x v="6"/>
    <x v="0"/>
  </r>
  <r>
    <n v="57355"/>
    <s v="Emp 908"/>
    <s v="29211101980384"/>
    <x v="5"/>
    <x v="1"/>
    <d v="1992-11-10T00:00:00"/>
    <n v="33.255555555555553"/>
    <x v="0"/>
    <x v="1"/>
    <x v="4"/>
    <s v="Ismailia"/>
    <d v="2024-12-05T00:00:00"/>
    <n v="1.1861111111111111"/>
    <n v="4091"/>
    <x v="6"/>
    <x v="1"/>
  </r>
  <r>
    <n v="52064"/>
    <s v="Emp 909"/>
    <s v="28809171762296"/>
    <x v="9"/>
    <x v="0"/>
    <d v="1988-09-17T00:00:00"/>
    <n v="37.402777777777779"/>
    <x v="1"/>
    <x v="1"/>
    <x v="0"/>
    <s v="Monufia"/>
    <d v="2024-12-06T00:00:00"/>
    <n v="1.1833333333333333"/>
    <n v="6763"/>
    <x v="6"/>
    <x v="0"/>
  </r>
  <r>
    <n v="55170"/>
    <s v="Emp 910"/>
    <s v="28803111789782"/>
    <x v="3"/>
    <x v="1"/>
    <d v="1988-03-11T00:00:00"/>
    <n v="37.919444444444444"/>
    <x v="1"/>
    <x v="1"/>
    <x v="1"/>
    <s v="Monufia"/>
    <d v="2024-12-07T00:00:00"/>
    <n v="1.1805555555555556"/>
    <n v="4257"/>
    <x v="6"/>
    <x v="1"/>
  </r>
  <r>
    <n v="58534"/>
    <s v="Emp 911"/>
    <s v="28304081369872"/>
    <x v="9"/>
    <x v="0"/>
    <d v="1983-04-08T00:00:00"/>
    <n v="42.844444444444441"/>
    <x v="0"/>
    <x v="0"/>
    <x v="3"/>
    <s v="Sharqia"/>
    <d v="2024-12-08T00:00:00"/>
    <n v="1.1777777777777778"/>
    <n v="16291"/>
    <x v="6"/>
    <x v="0"/>
  </r>
  <r>
    <n v="56055"/>
    <s v="Emp 912"/>
    <s v="28605210278671"/>
    <x v="9"/>
    <x v="0"/>
    <d v="1986-05-21T00:00:00"/>
    <n v="39.725000000000001"/>
    <x v="0"/>
    <x v="2"/>
    <x v="4"/>
    <s v="Alexandria"/>
    <d v="2024-12-09T00:00:00"/>
    <n v="1.175"/>
    <n v="14589"/>
    <x v="6"/>
    <x v="0"/>
  </r>
  <r>
    <n v="59923"/>
    <s v="Emp 913"/>
    <s v="28805262178128"/>
    <x v="6"/>
    <x v="1"/>
    <d v="1988-05-26T00:00:00"/>
    <n v="37.711111111111109"/>
    <x v="1"/>
    <x v="1"/>
    <x v="2"/>
    <s v="Giza"/>
    <d v="2024-12-10T00:00:00"/>
    <n v="1.1722222222222223"/>
    <n v="5647"/>
    <x v="6"/>
    <x v="1"/>
  </r>
  <r>
    <n v="57286"/>
    <s v="Emp 914"/>
    <s v="29011251955479"/>
    <x v="4"/>
    <x v="0"/>
    <d v="1990-11-25T00:00:00"/>
    <n v="35.213888888888889"/>
    <x v="1"/>
    <x v="1"/>
    <x v="0"/>
    <s v="Ismailia"/>
    <d v="2024-12-11T00:00:00"/>
    <n v="1.1694444444444445"/>
    <n v="4068"/>
    <x v="6"/>
    <x v="1"/>
  </r>
  <r>
    <n v="55665"/>
    <s v="Emp 915"/>
    <s v="29503141782941"/>
    <x v="5"/>
    <x v="1"/>
    <d v="1995-03-14T00:00:00"/>
    <n v="30.911111111111111"/>
    <x v="1"/>
    <x v="1"/>
    <x v="0"/>
    <s v="Monufia"/>
    <d v="2024-12-12T00:00:00"/>
    <n v="1.1666666666666667"/>
    <n v="6444"/>
    <x v="6"/>
    <x v="0"/>
  </r>
  <r>
    <n v="54830"/>
    <s v="Emp 916"/>
    <s v="28410240162418"/>
    <x v="3"/>
    <x v="0"/>
    <d v="1984-10-24T00:00:00"/>
    <n v="41.3"/>
    <x v="0"/>
    <x v="1"/>
    <x v="3"/>
    <s v="Cairo"/>
    <d v="2024-12-13T00:00:00"/>
    <n v="1.163888888888889"/>
    <n v="5162"/>
    <x v="6"/>
    <x v="1"/>
  </r>
  <r>
    <n v="52062"/>
    <s v="Emp 917"/>
    <s v="29305161989552"/>
    <x v="2"/>
    <x v="0"/>
    <d v="1993-05-16T00:00:00"/>
    <n v="32.738888888888887"/>
    <x v="0"/>
    <x v="1"/>
    <x v="0"/>
    <s v="Ismailia"/>
    <d v="2024-12-14T00:00:00"/>
    <n v="1.1611111111111112"/>
    <n v="5368"/>
    <x v="6"/>
    <x v="1"/>
  </r>
  <r>
    <n v="58118"/>
    <s v="Emp 918"/>
    <s v="30111030268321"/>
    <x v="9"/>
    <x v="1"/>
    <d v="2001-11-03T00:00:00"/>
    <n v="24.274999999999999"/>
    <x v="0"/>
    <x v="1"/>
    <x v="4"/>
    <s v="Alexandria"/>
    <d v="2024-12-15T00:00:00"/>
    <n v="1.1583333333333334"/>
    <n v="6582"/>
    <x v="6"/>
    <x v="0"/>
  </r>
  <r>
    <n v="59895"/>
    <s v="Emp 919"/>
    <s v="30010012182693"/>
    <x v="3"/>
    <x v="0"/>
    <d v="2000-10-01T00:00:00"/>
    <n v="25.363888888888887"/>
    <x v="0"/>
    <x v="2"/>
    <x v="1"/>
    <s v="Giza"/>
    <d v="2024-12-16T00:00:00"/>
    <n v="1.1555555555555554"/>
    <n v="12044"/>
    <x v="6"/>
    <x v="0"/>
  </r>
  <r>
    <n v="58498"/>
    <s v="Emp 920"/>
    <s v="29310041955214"/>
    <x v="5"/>
    <x v="0"/>
    <d v="1993-10-04T00:00:00"/>
    <n v="32.355555555555554"/>
    <x v="1"/>
    <x v="1"/>
    <x v="2"/>
    <s v="Ismailia"/>
    <d v="2024-12-17T00:00:00"/>
    <n v="1.1527777777777777"/>
    <n v="6584"/>
    <x v="6"/>
    <x v="0"/>
  </r>
  <r>
    <n v="52878"/>
    <s v="Emp 921"/>
    <s v="30301121981668"/>
    <x v="9"/>
    <x v="1"/>
    <d v="2003-01-12T00:00:00"/>
    <n v="23.083333333333332"/>
    <x v="1"/>
    <x v="1"/>
    <x v="2"/>
    <s v="Ismailia"/>
    <d v="2024-12-18T00:00:00"/>
    <n v="1.1499999999999999"/>
    <n v="4632"/>
    <x v="6"/>
    <x v="1"/>
  </r>
  <r>
    <n v="56404"/>
    <s v="Emp 922"/>
    <s v="29508060276088"/>
    <x v="2"/>
    <x v="1"/>
    <d v="1995-08-06T00:00:00"/>
    <n v="30.516666666666666"/>
    <x v="1"/>
    <x v="1"/>
    <x v="1"/>
    <s v="Alexandria"/>
    <d v="2024-12-19T00:00:00"/>
    <n v="1.1472222222222221"/>
    <n v="6698"/>
    <x v="6"/>
    <x v="0"/>
  </r>
  <r>
    <n v="51024"/>
    <s v="Emp 923"/>
    <s v="28312221787741"/>
    <x v="0"/>
    <x v="1"/>
    <d v="1983-12-22T00:00:00"/>
    <n v="42.138888888888886"/>
    <x v="0"/>
    <x v="1"/>
    <x v="4"/>
    <s v="Monufia"/>
    <d v="2024-12-20T00:00:00"/>
    <n v="1.1444444444444444"/>
    <n v="3674"/>
    <x v="6"/>
    <x v="1"/>
  </r>
  <r>
    <n v="53431"/>
    <s v="Emp 924"/>
    <s v="28403151779218"/>
    <x v="1"/>
    <x v="0"/>
    <d v="1984-03-15T00:00:00"/>
    <n v="41.908333333333331"/>
    <x v="1"/>
    <x v="0"/>
    <x v="3"/>
    <s v="Monufia"/>
    <d v="2024-12-21T00:00:00"/>
    <n v="1.1416666666666666"/>
    <n v="21615"/>
    <x v="6"/>
    <x v="0"/>
  </r>
  <r>
    <n v="51471"/>
    <s v="Emp 925"/>
    <s v="29908281772789"/>
    <x v="3"/>
    <x v="1"/>
    <d v="1999-08-28T00:00:00"/>
    <n v="26.455555555555556"/>
    <x v="0"/>
    <x v="1"/>
    <x v="2"/>
    <s v="Monufia"/>
    <d v="2024-12-22T00:00:00"/>
    <n v="1.1388888888888888"/>
    <n v="4988"/>
    <x v="6"/>
    <x v="1"/>
  </r>
  <r>
    <n v="50398"/>
    <s v="Emp 926"/>
    <s v="30209010260245"/>
    <x v="0"/>
    <x v="1"/>
    <d v="2002-09-01T00:00:00"/>
    <n v="23.447222222222223"/>
    <x v="1"/>
    <x v="2"/>
    <x v="0"/>
    <s v="Alexandria"/>
    <d v="2024-12-23T00:00:00"/>
    <n v="1.1361111111111111"/>
    <n v="14546"/>
    <x v="6"/>
    <x v="0"/>
  </r>
  <r>
    <n v="58543"/>
    <s v="Emp 927"/>
    <s v="29209191355811"/>
    <x v="0"/>
    <x v="0"/>
    <d v="1992-09-19T00:00:00"/>
    <n v="33.397222222222226"/>
    <x v="0"/>
    <x v="1"/>
    <x v="0"/>
    <s v="Sharqia"/>
    <d v="2024-12-24T00:00:00"/>
    <n v="1.1333333333333333"/>
    <n v="5066"/>
    <x v="6"/>
    <x v="1"/>
  </r>
  <r>
    <n v="54957"/>
    <s v="Emp 928"/>
    <s v="28904160184291"/>
    <x v="0"/>
    <x v="0"/>
    <d v="1989-04-16T00:00:00"/>
    <n v="36.822222222222223"/>
    <x v="1"/>
    <x v="2"/>
    <x v="1"/>
    <s v="Cairo"/>
    <d v="2024-12-25T00:00:00"/>
    <n v="1.1305555555555555"/>
    <n v="14486"/>
    <x v="6"/>
    <x v="0"/>
  </r>
  <r>
    <n v="59110"/>
    <s v="Emp 929"/>
    <s v="29106231768335"/>
    <x v="6"/>
    <x v="0"/>
    <d v="1991-06-23T00:00:00"/>
    <n v="34.636111111111113"/>
    <x v="0"/>
    <x v="1"/>
    <x v="4"/>
    <s v="Monufia"/>
    <d v="2024-12-26T00:00:00"/>
    <n v="1.1277777777777778"/>
    <n v="6035"/>
    <x v="6"/>
    <x v="0"/>
  </r>
  <r>
    <n v="50170"/>
    <s v="Emp 930"/>
    <s v="28209281756837"/>
    <x v="9"/>
    <x v="0"/>
    <d v="1982-09-28T00:00:00"/>
    <n v="43.37222222222222"/>
    <x v="0"/>
    <x v="1"/>
    <x v="0"/>
    <s v="Monufia"/>
    <d v="2024-12-27T00:00:00"/>
    <n v="1.125"/>
    <n v="7000"/>
    <x v="6"/>
    <x v="0"/>
  </r>
  <r>
    <n v="55749"/>
    <s v="Emp 931"/>
    <s v="29512150283392"/>
    <x v="4"/>
    <x v="0"/>
    <d v="1995-12-15T00:00:00"/>
    <n v="30.158333333333335"/>
    <x v="0"/>
    <x v="2"/>
    <x v="2"/>
    <s v="Alexandria"/>
    <d v="2024-12-28T00:00:00"/>
    <n v="1.1222222222222222"/>
    <n v="11461"/>
    <x v="6"/>
    <x v="0"/>
  </r>
  <r>
    <n v="50195"/>
    <s v="Emp 932"/>
    <s v="29706261769539"/>
    <x v="3"/>
    <x v="0"/>
    <d v="1997-06-26T00:00:00"/>
    <n v="28.627777777777776"/>
    <x v="0"/>
    <x v="1"/>
    <x v="0"/>
    <s v="Monufia"/>
    <d v="2024-12-29T00:00:00"/>
    <n v="1.1194444444444445"/>
    <n v="6779"/>
    <x v="6"/>
    <x v="0"/>
  </r>
  <r>
    <n v="54592"/>
    <s v="Emp 933"/>
    <s v="30112211384763"/>
    <x v="2"/>
    <x v="1"/>
    <d v="2001-12-21T00:00:00"/>
    <n v="24.141666666666666"/>
    <x v="1"/>
    <x v="1"/>
    <x v="3"/>
    <s v="Sharqia"/>
    <d v="2024-12-30T00:00:00"/>
    <n v="1.1166666666666667"/>
    <n v="5436"/>
    <x v="6"/>
    <x v="1"/>
  </r>
  <r>
    <n v="51807"/>
    <s v="Emp 934"/>
    <s v="28705222181886"/>
    <x v="8"/>
    <x v="1"/>
    <d v="1987-05-22T00:00:00"/>
    <n v="38.722222222222221"/>
    <x v="0"/>
    <x v="1"/>
    <x v="0"/>
    <s v="Giza"/>
    <d v="2024-12-31T00:00:00"/>
    <n v="1.1166666666666667"/>
    <n v="4811"/>
    <x v="6"/>
    <x v="1"/>
  </r>
  <r>
    <n v="58195"/>
    <s v="Emp 935"/>
    <s v="30202251978126"/>
    <x v="3"/>
    <x v="1"/>
    <d v="2002-02-25T00:00:00"/>
    <n v="23.963888888888889"/>
    <x v="1"/>
    <x v="1"/>
    <x v="1"/>
    <s v="Ismailia"/>
    <d v="2025-01-01T00:00:00"/>
    <n v="1.1138888888888889"/>
    <n v="5739"/>
    <x v="7"/>
    <x v="1"/>
  </r>
  <r>
    <n v="58722"/>
    <s v="Emp 936"/>
    <s v="29812271359685"/>
    <x v="1"/>
    <x v="1"/>
    <d v="1998-12-27T00:00:00"/>
    <n v="27.125"/>
    <x v="0"/>
    <x v="1"/>
    <x v="1"/>
    <s v="Sharqia"/>
    <d v="2025-01-02T00:00:00"/>
    <n v="1.1111111111111112"/>
    <n v="5400"/>
    <x v="7"/>
    <x v="1"/>
  </r>
  <r>
    <n v="57829"/>
    <s v="Emp 937"/>
    <s v="28205220288038"/>
    <x v="5"/>
    <x v="0"/>
    <d v="1982-05-22T00:00:00"/>
    <n v="43.722222222222221"/>
    <x v="0"/>
    <x v="1"/>
    <x v="0"/>
    <s v="Alexandria"/>
    <d v="2025-01-03T00:00:00"/>
    <n v="1.1083333333333334"/>
    <n v="5879"/>
    <x v="7"/>
    <x v="1"/>
  </r>
  <r>
    <n v="58480"/>
    <s v="Emp 938"/>
    <s v="30005121960693"/>
    <x v="2"/>
    <x v="0"/>
    <d v="2000-05-12T00:00:00"/>
    <n v="25.75"/>
    <x v="0"/>
    <x v="1"/>
    <x v="3"/>
    <s v="Ismailia"/>
    <d v="2025-01-04T00:00:00"/>
    <n v="1.1055555555555556"/>
    <n v="6218"/>
    <x v="7"/>
    <x v="0"/>
  </r>
  <r>
    <n v="51299"/>
    <s v="Emp 939"/>
    <s v="28801020287353"/>
    <x v="7"/>
    <x v="0"/>
    <d v="1988-01-02T00:00:00"/>
    <n v="38.111111111111114"/>
    <x v="0"/>
    <x v="1"/>
    <x v="3"/>
    <s v="Alexandria"/>
    <d v="2025-01-05T00:00:00"/>
    <n v="1.1027777777777779"/>
    <n v="5379"/>
    <x v="7"/>
    <x v="1"/>
  </r>
  <r>
    <n v="55725"/>
    <s v="Emp 940"/>
    <s v="28709140158891"/>
    <x v="4"/>
    <x v="0"/>
    <d v="1987-09-14T00:00:00"/>
    <n v="38.411111111111111"/>
    <x v="1"/>
    <x v="1"/>
    <x v="3"/>
    <s v="Cairo"/>
    <d v="2025-01-06T00:00:00"/>
    <n v="1.1000000000000001"/>
    <n v="6635"/>
    <x v="7"/>
    <x v="0"/>
  </r>
  <r>
    <n v="50984"/>
    <s v="Emp 941"/>
    <s v="28405102184654"/>
    <x v="2"/>
    <x v="0"/>
    <d v="1984-05-10T00:00:00"/>
    <n v="41.755555555555553"/>
    <x v="1"/>
    <x v="1"/>
    <x v="2"/>
    <s v="Giza"/>
    <d v="2025-01-07T00:00:00"/>
    <n v="1.0972222222222223"/>
    <n v="4246"/>
    <x v="7"/>
    <x v="1"/>
  </r>
  <r>
    <n v="50197"/>
    <s v="Emp 942"/>
    <s v="30204251787492"/>
    <x v="7"/>
    <x v="0"/>
    <d v="2002-04-25T00:00:00"/>
    <n v="23.797222222222221"/>
    <x v="0"/>
    <x v="1"/>
    <x v="1"/>
    <s v="Monufia"/>
    <d v="2025-01-08T00:00:00"/>
    <n v="1.0944444444444446"/>
    <n v="5162"/>
    <x v="7"/>
    <x v="1"/>
  </r>
  <r>
    <n v="52572"/>
    <s v="Emp 943"/>
    <s v="29808040160074"/>
    <x v="3"/>
    <x v="0"/>
    <d v="1998-08-04T00:00:00"/>
    <n v="27.522222222222222"/>
    <x v="1"/>
    <x v="1"/>
    <x v="4"/>
    <s v="Cairo"/>
    <d v="2025-01-09T00:00:00"/>
    <n v="1.0916666666666666"/>
    <n v="5717"/>
    <x v="7"/>
    <x v="1"/>
  </r>
  <r>
    <n v="57949"/>
    <s v="Emp 944"/>
    <s v="30006011354027"/>
    <x v="3"/>
    <x v="1"/>
    <d v="2000-06-01T00:00:00"/>
    <n v="25.697222222222223"/>
    <x v="1"/>
    <x v="0"/>
    <x v="2"/>
    <s v="Sharqia"/>
    <d v="2025-01-10T00:00:00"/>
    <n v="1.0888888888888888"/>
    <n v="16042"/>
    <x v="7"/>
    <x v="0"/>
  </r>
  <r>
    <n v="50685"/>
    <s v="Emp 945"/>
    <s v="29709201773279"/>
    <x v="2"/>
    <x v="0"/>
    <d v="1997-09-20T00:00:00"/>
    <n v="28.394444444444446"/>
    <x v="1"/>
    <x v="1"/>
    <x v="0"/>
    <s v="Monufia"/>
    <d v="2025-01-11T00:00:00"/>
    <n v="1.086111111111111"/>
    <n v="6676"/>
    <x v="7"/>
    <x v="0"/>
  </r>
  <r>
    <n v="54408"/>
    <s v="Emp 946"/>
    <s v="29110022159387"/>
    <x v="3"/>
    <x v="1"/>
    <d v="1991-10-02T00:00:00"/>
    <n v="34.361111111111114"/>
    <x v="0"/>
    <x v="1"/>
    <x v="2"/>
    <s v="Giza"/>
    <d v="2025-01-12T00:00:00"/>
    <n v="1.0833333333333333"/>
    <n v="3921"/>
    <x v="7"/>
    <x v="1"/>
  </r>
  <r>
    <n v="58827"/>
    <s v="Emp 947"/>
    <s v="28609091964645"/>
    <x v="4"/>
    <x v="1"/>
    <d v="1986-09-09T00:00:00"/>
    <n v="39.424999999999997"/>
    <x v="1"/>
    <x v="1"/>
    <x v="2"/>
    <s v="Ismailia"/>
    <d v="2025-01-13T00:00:00"/>
    <n v="1.0805555555555555"/>
    <n v="3324"/>
    <x v="7"/>
    <x v="1"/>
  </r>
  <r>
    <n v="58988"/>
    <s v="Emp 948"/>
    <s v="29903202186456"/>
    <x v="5"/>
    <x v="0"/>
    <d v="1999-03-20T00:00:00"/>
    <n v="26.894444444444446"/>
    <x v="1"/>
    <x v="1"/>
    <x v="3"/>
    <s v="Giza"/>
    <d v="2025-01-14T00:00:00"/>
    <n v="1.0777777777777777"/>
    <n v="3973"/>
    <x v="7"/>
    <x v="1"/>
  </r>
  <r>
    <n v="55990"/>
    <s v="Emp 949"/>
    <s v="30002252155184"/>
    <x v="9"/>
    <x v="1"/>
    <d v="2000-02-25T00:00:00"/>
    <n v="25.963888888888889"/>
    <x v="0"/>
    <x v="2"/>
    <x v="3"/>
    <s v="Giza"/>
    <d v="2025-01-15T00:00:00"/>
    <n v="1.075"/>
    <n v="13787"/>
    <x v="7"/>
    <x v="0"/>
  </r>
  <r>
    <n v="57432"/>
    <s v="Emp 950"/>
    <s v="29508220254964"/>
    <x v="4"/>
    <x v="1"/>
    <d v="1995-08-22T00:00:00"/>
    <n v="30.472222222222221"/>
    <x v="0"/>
    <x v="1"/>
    <x v="1"/>
    <s v="Alexandria"/>
    <d v="2025-01-16T00:00:00"/>
    <n v="1.0722222222222222"/>
    <n v="6312"/>
    <x v="7"/>
    <x v="0"/>
  </r>
  <r>
    <n v="57913"/>
    <s v="Emp 951"/>
    <s v="29407180260432"/>
    <x v="4"/>
    <x v="0"/>
    <d v="1994-07-18T00:00:00"/>
    <n v="31.566666666666666"/>
    <x v="0"/>
    <x v="1"/>
    <x v="2"/>
    <s v="Alexandria"/>
    <d v="2025-01-17T00:00:00"/>
    <n v="1.0694444444444444"/>
    <n v="6363"/>
    <x v="7"/>
    <x v="0"/>
  </r>
  <r>
    <n v="55511"/>
    <s v="Emp 952"/>
    <s v="29701261756527"/>
    <x v="7"/>
    <x v="1"/>
    <d v="1997-01-26T00:00:00"/>
    <n v="29.044444444444444"/>
    <x v="0"/>
    <x v="0"/>
    <x v="4"/>
    <s v="Monufia"/>
    <d v="2025-01-18T00:00:00"/>
    <n v="1.0666666666666667"/>
    <n v="28316"/>
    <x v="7"/>
    <x v="0"/>
  </r>
  <r>
    <n v="51532"/>
    <s v="Emp 953"/>
    <s v="29702051772498"/>
    <x v="6"/>
    <x v="0"/>
    <d v="1997-02-05T00:00:00"/>
    <n v="29.019444444444446"/>
    <x v="0"/>
    <x v="1"/>
    <x v="3"/>
    <s v="Monufia"/>
    <d v="2025-01-19T00:00:00"/>
    <n v="1.0638888888888889"/>
    <n v="3932"/>
    <x v="7"/>
    <x v="1"/>
  </r>
  <r>
    <n v="58884"/>
    <s v="Emp 954"/>
    <s v="30111271762457"/>
    <x v="8"/>
    <x v="0"/>
    <d v="2001-11-27T00:00:00"/>
    <n v="24.208333333333332"/>
    <x v="0"/>
    <x v="1"/>
    <x v="2"/>
    <s v="Monufia"/>
    <d v="2025-01-20T00:00:00"/>
    <n v="1.0611111111111111"/>
    <n v="4777"/>
    <x v="7"/>
    <x v="1"/>
  </r>
  <r>
    <n v="54747"/>
    <s v="Emp 955"/>
    <s v="29309161390494"/>
    <x v="6"/>
    <x v="0"/>
    <d v="1993-09-16T00:00:00"/>
    <n v="32.405555555555559"/>
    <x v="0"/>
    <x v="1"/>
    <x v="4"/>
    <s v="Sharqia"/>
    <d v="2025-01-21T00:00:00"/>
    <n v="1.0583333333333333"/>
    <n v="4406"/>
    <x v="7"/>
    <x v="1"/>
  </r>
  <r>
    <n v="51471"/>
    <s v="Emp 956"/>
    <s v="28708070285221"/>
    <x v="3"/>
    <x v="1"/>
    <d v="1987-08-07T00:00:00"/>
    <n v="38.513888888888886"/>
    <x v="0"/>
    <x v="1"/>
    <x v="3"/>
    <s v="Alexandria"/>
    <d v="2025-01-22T00:00:00"/>
    <n v="1.0555555555555556"/>
    <n v="6782"/>
    <x v="7"/>
    <x v="0"/>
  </r>
  <r>
    <n v="53632"/>
    <s v="Emp 957"/>
    <s v="29511080172627"/>
    <x v="3"/>
    <x v="1"/>
    <d v="1995-11-08T00:00:00"/>
    <n v="30.261111111111113"/>
    <x v="1"/>
    <x v="1"/>
    <x v="3"/>
    <s v="Cairo"/>
    <d v="2025-01-23T00:00:00"/>
    <n v="1.0527777777777778"/>
    <n v="4337"/>
    <x v="7"/>
    <x v="1"/>
  </r>
  <r>
    <n v="56888"/>
    <s v="Emp 958"/>
    <s v="30310030285073"/>
    <x v="6"/>
    <x v="0"/>
    <d v="2003-10-03T00:00:00"/>
    <n v="22.358333333333334"/>
    <x v="1"/>
    <x v="2"/>
    <x v="2"/>
    <s v="Alexandria"/>
    <d v="2025-01-24T00:00:00"/>
    <n v="1.05"/>
    <n v="10944"/>
    <x v="7"/>
    <x v="0"/>
  </r>
  <r>
    <n v="56443"/>
    <s v="Emp 959"/>
    <s v="29707120289253"/>
    <x v="4"/>
    <x v="0"/>
    <d v="1997-07-12T00:00:00"/>
    <n v="28.583333333333332"/>
    <x v="1"/>
    <x v="1"/>
    <x v="3"/>
    <s v="Alexandria"/>
    <d v="2025-01-25T00:00:00"/>
    <n v="1.0472222222222223"/>
    <n v="4427"/>
    <x v="7"/>
    <x v="1"/>
  </r>
  <r>
    <n v="55786"/>
    <s v="Emp 960"/>
    <s v="28311051958699"/>
    <x v="8"/>
    <x v="0"/>
    <d v="1983-11-05T00:00:00"/>
    <n v="42.269444444444446"/>
    <x v="1"/>
    <x v="2"/>
    <x v="0"/>
    <s v="Ismailia"/>
    <d v="2025-01-26T00:00:00"/>
    <n v="1.0444444444444445"/>
    <n v="13504"/>
    <x v="7"/>
    <x v="0"/>
  </r>
  <r>
    <n v="50906"/>
    <s v="Emp 961"/>
    <s v="28208201972119"/>
    <x v="6"/>
    <x v="0"/>
    <d v="1982-08-20T00:00:00"/>
    <n v="43.477777777777774"/>
    <x v="0"/>
    <x v="1"/>
    <x v="0"/>
    <s v="Ismailia"/>
    <d v="2025-01-27T00:00:00"/>
    <n v="1.0416666666666667"/>
    <n v="5209"/>
    <x v="7"/>
    <x v="1"/>
  </r>
  <r>
    <n v="52909"/>
    <s v="Emp 962"/>
    <s v="30308131953521"/>
    <x v="4"/>
    <x v="1"/>
    <d v="2003-08-13T00:00:00"/>
    <n v="22.497222222222224"/>
    <x v="1"/>
    <x v="2"/>
    <x v="1"/>
    <s v="Ismailia"/>
    <d v="2025-01-28T00:00:00"/>
    <n v="1.038888888888889"/>
    <n v="11203"/>
    <x v="7"/>
    <x v="0"/>
  </r>
  <r>
    <n v="56134"/>
    <s v="Emp 963"/>
    <s v="29410120185162"/>
    <x v="6"/>
    <x v="1"/>
    <d v="1994-10-12T00:00:00"/>
    <n v="31.333333333333332"/>
    <x v="0"/>
    <x v="1"/>
    <x v="1"/>
    <s v="Cairo"/>
    <d v="2025-01-29T00:00:00"/>
    <n v="1.0361111111111112"/>
    <n v="3589"/>
    <x v="7"/>
    <x v="1"/>
  </r>
  <r>
    <n v="50294"/>
    <s v="Emp 964"/>
    <s v="30207160176555"/>
    <x v="8"/>
    <x v="0"/>
    <d v="2002-07-16T00:00:00"/>
    <n v="23.572222222222223"/>
    <x v="0"/>
    <x v="2"/>
    <x v="3"/>
    <s v="Cairo"/>
    <d v="2025-01-30T00:00:00"/>
    <n v="1.0333333333333334"/>
    <n v="13007"/>
    <x v="7"/>
    <x v="0"/>
  </r>
  <r>
    <n v="52620"/>
    <s v="Emp 965"/>
    <s v="28612111363811"/>
    <x v="7"/>
    <x v="0"/>
    <d v="1986-12-11T00:00:00"/>
    <n v="39.169444444444444"/>
    <x v="1"/>
    <x v="0"/>
    <x v="3"/>
    <s v="Sharqia"/>
    <d v="2025-01-31T00:00:00"/>
    <n v="1.0333333333333334"/>
    <n v="28102"/>
    <x v="7"/>
    <x v="0"/>
  </r>
  <r>
    <n v="54418"/>
    <s v="Emp 966"/>
    <s v="30308131765117"/>
    <x v="3"/>
    <x v="0"/>
    <d v="2003-08-13T00:00:00"/>
    <n v="22.497222222222224"/>
    <x v="1"/>
    <x v="1"/>
    <x v="4"/>
    <s v="Monufia"/>
    <d v="2025-02-01T00:00:00"/>
    <n v="1.0305555555555554"/>
    <n v="6448"/>
    <x v="8"/>
    <x v="0"/>
  </r>
  <r>
    <n v="54166"/>
    <s v="Emp 967"/>
    <s v="29908221380791"/>
    <x v="5"/>
    <x v="0"/>
    <d v="1999-08-22T00:00:00"/>
    <n v="26.472222222222221"/>
    <x v="0"/>
    <x v="1"/>
    <x v="4"/>
    <s v="Sharqia"/>
    <d v="2025-02-02T00:00:00"/>
    <n v="1.0277777777777777"/>
    <n v="3209"/>
    <x v="8"/>
    <x v="1"/>
  </r>
  <r>
    <n v="55845"/>
    <s v="Emp 968"/>
    <s v="30003021768575"/>
    <x v="6"/>
    <x v="0"/>
    <d v="2000-03-02T00:00:00"/>
    <n v="25.944444444444443"/>
    <x v="0"/>
    <x v="1"/>
    <x v="2"/>
    <s v="Monufia"/>
    <d v="2025-02-03T00:00:00"/>
    <n v="1.0249999999999999"/>
    <n v="6453"/>
    <x v="8"/>
    <x v="0"/>
  </r>
  <r>
    <n v="53550"/>
    <s v="Emp 969"/>
    <s v="29709020254429"/>
    <x v="9"/>
    <x v="1"/>
    <d v="1997-09-02T00:00:00"/>
    <n v="28.444444444444443"/>
    <x v="1"/>
    <x v="1"/>
    <x v="3"/>
    <s v="Alexandria"/>
    <d v="2025-02-04T00:00:00"/>
    <n v="1.0222222222222221"/>
    <n v="6051"/>
    <x v="8"/>
    <x v="0"/>
  </r>
  <r>
    <n v="53807"/>
    <s v="Emp 970"/>
    <s v="29808281382625"/>
    <x v="7"/>
    <x v="1"/>
    <d v="1998-08-28T00:00:00"/>
    <n v="27.455555555555556"/>
    <x v="0"/>
    <x v="1"/>
    <x v="0"/>
    <s v="Sharqia"/>
    <d v="2025-02-05T00:00:00"/>
    <n v="1.0194444444444444"/>
    <n v="5116"/>
    <x v="8"/>
    <x v="1"/>
  </r>
  <r>
    <n v="51710"/>
    <s v="Emp 971"/>
    <s v="29104210186267"/>
    <x v="3"/>
    <x v="1"/>
    <d v="1991-04-21T00:00:00"/>
    <n v="34.80833333333333"/>
    <x v="0"/>
    <x v="0"/>
    <x v="1"/>
    <s v="Cairo"/>
    <d v="2025-02-06T00:00:00"/>
    <n v="1.0166666666666666"/>
    <n v="19934"/>
    <x v="8"/>
    <x v="0"/>
  </r>
  <r>
    <n v="57198"/>
    <s v="Emp 972"/>
    <s v="29203261389353"/>
    <x v="2"/>
    <x v="0"/>
    <d v="1992-03-26T00:00:00"/>
    <n v="33.87777777777778"/>
    <x v="1"/>
    <x v="1"/>
    <x v="0"/>
    <s v="Sharqia"/>
    <d v="2025-02-07T00:00:00"/>
    <n v="1.0138888888888888"/>
    <n v="6581"/>
    <x v="8"/>
    <x v="0"/>
  </r>
  <r>
    <n v="55043"/>
    <s v="Emp 973"/>
    <s v="28206182153779"/>
    <x v="2"/>
    <x v="0"/>
    <d v="1982-06-18T00:00:00"/>
    <n v="43.65"/>
    <x v="0"/>
    <x v="1"/>
    <x v="3"/>
    <s v="Giza"/>
    <d v="2025-02-08T00:00:00"/>
    <n v="1.0111111111111111"/>
    <n v="3889"/>
    <x v="8"/>
    <x v="1"/>
  </r>
  <r>
    <n v="55197"/>
    <s v="Emp 974"/>
    <s v="30211251767245"/>
    <x v="7"/>
    <x v="1"/>
    <d v="2002-11-25T00:00:00"/>
    <n v="23.213888888888889"/>
    <x v="0"/>
    <x v="1"/>
    <x v="2"/>
    <s v="Monufia"/>
    <d v="2025-02-09T00:00:00"/>
    <n v="1.0083333333333333"/>
    <n v="4487"/>
    <x v="8"/>
    <x v="1"/>
  </r>
  <r>
    <n v="50989"/>
    <s v="Emp 975"/>
    <s v="29701070268352"/>
    <x v="4"/>
    <x v="0"/>
    <d v="1997-01-07T00:00:00"/>
    <n v="29.097222222222221"/>
    <x v="0"/>
    <x v="1"/>
    <x v="3"/>
    <s v="Alexandria"/>
    <d v="2025-02-10T00:00:00"/>
    <n v="1.0055555555555555"/>
    <n v="4104"/>
    <x v="8"/>
    <x v="1"/>
  </r>
  <r>
    <n v="51238"/>
    <s v="Emp 976"/>
    <s v="30106251972147"/>
    <x v="5"/>
    <x v="1"/>
    <d v="2001-06-25T00:00:00"/>
    <n v="24.630555555555556"/>
    <x v="0"/>
    <x v="1"/>
    <x v="4"/>
    <s v="Ismailia"/>
    <d v="2025-02-11T00:00:00"/>
    <n v="1.0027777777777778"/>
    <n v="6238"/>
    <x v="8"/>
    <x v="0"/>
  </r>
  <r>
    <n v="57378"/>
    <s v="Emp 977"/>
    <s v="30305240153738"/>
    <x v="4"/>
    <x v="0"/>
    <d v="2003-05-24T00:00:00"/>
    <n v="22.716666666666665"/>
    <x v="0"/>
    <x v="0"/>
    <x v="1"/>
    <s v="Cairo"/>
    <d v="2025-02-12T00:00:00"/>
    <n v="1"/>
    <n v="15419"/>
    <x v="8"/>
    <x v="0"/>
  </r>
  <r>
    <n v="50089"/>
    <s v="Emp 978"/>
    <s v="29004170289455"/>
    <x v="3"/>
    <x v="0"/>
    <d v="1990-04-17T00:00:00"/>
    <n v="35.819444444444443"/>
    <x v="1"/>
    <x v="0"/>
    <x v="4"/>
    <s v="Alexandria"/>
    <d v="2025-02-13T00:00:00"/>
    <n v="0.99722222222222223"/>
    <n v="28480"/>
    <x v="8"/>
    <x v="0"/>
  </r>
  <r>
    <n v="53085"/>
    <s v="Emp 979"/>
    <s v="28407190188044"/>
    <x v="8"/>
    <x v="1"/>
    <d v="1984-07-19T00:00:00"/>
    <n v="41.56388888888889"/>
    <x v="1"/>
    <x v="1"/>
    <x v="2"/>
    <s v="Cairo"/>
    <d v="2025-02-14T00:00:00"/>
    <n v="0.99444444444444446"/>
    <n v="6088"/>
    <x v="8"/>
    <x v="0"/>
  </r>
  <r>
    <n v="52688"/>
    <s v="Emp 980"/>
    <s v="28503081391195"/>
    <x v="0"/>
    <x v="0"/>
    <d v="1985-03-08T00:00:00"/>
    <n v="40.927777777777777"/>
    <x v="0"/>
    <x v="1"/>
    <x v="0"/>
    <s v="Sharqia"/>
    <d v="2025-02-15T00:00:00"/>
    <n v="0.9916666666666667"/>
    <n v="4406"/>
    <x v="8"/>
    <x v="1"/>
  </r>
  <r>
    <n v="51681"/>
    <s v="Emp 981"/>
    <s v="29909021352754"/>
    <x v="4"/>
    <x v="0"/>
    <d v="1999-09-02T00:00:00"/>
    <n v="26.444444444444443"/>
    <x v="0"/>
    <x v="1"/>
    <x v="4"/>
    <s v="Sharqia"/>
    <d v="2025-02-16T00:00:00"/>
    <n v="0.98888888888888893"/>
    <n v="3300"/>
    <x v="8"/>
    <x v="1"/>
  </r>
  <r>
    <n v="51389"/>
    <s v="Emp 982"/>
    <s v="29204120288196"/>
    <x v="4"/>
    <x v="0"/>
    <d v="1992-04-12T00:00:00"/>
    <n v="33.833333333333336"/>
    <x v="0"/>
    <x v="1"/>
    <x v="0"/>
    <s v="Alexandria"/>
    <d v="2025-02-17T00:00:00"/>
    <n v="0.98611111111111116"/>
    <n v="5069"/>
    <x v="8"/>
    <x v="1"/>
  </r>
  <r>
    <n v="51545"/>
    <s v="Emp 983"/>
    <s v="29701020154821"/>
    <x v="3"/>
    <x v="1"/>
    <d v="1997-01-02T00:00:00"/>
    <n v="29.111111111111111"/>
    <x v="0"/>
    <x v="0"/>
    <x v="3"/>
    <s v="Cairo"/>
    <d v="2025-02-18T00:00:00"/>
    <n v="0.98333333333333328"/>
    <n v="23212"/>
    <x v="8"/>
    <x v="0"/>
  </r>
  <r>
    <n v="58099"/>
    <s v="Emp 984"/>
    <s v="28207050162753"/>
    <x v="7"/>
    <x v="0"/>
    <d v="1982-07-05T00:00:00"/>
    <n v="43.602777777777774"/>
    <x v="0"/>
    <x v="0"/>
    <x v="3"/>
    <s v="Cairo"/>
    <d v="2025-02-19T00:00:00"/>
    <n v="0.98055555555555551"/>
    <n v="18042"/>
    <x v="8"/>
    <x v="0"/>
  </r>
  <r>
    <n v="59765"/>
    <s v="Emp 985"/>
    <s v="29404030281571"/>
    <x v="0"/>
    <x v="0"/>
    <d v="1994-04-03T00:00:00"/>
    <n v="31.858333333333334"/>
    <x v="0"/>
    <x v="1"/>
    <x v="3"/>
    <s v="Alexandria"/>
    <d v="2025-02-20T00:00:00"/>
    <n v="0.97777777777777775"/>
    <n v="5763"/>
    <x v="8"/>
    <x v="1"/>
  </r>
  <r>
    <n v="52355"/>
    <s v="Emp 986"/>
    <s v="30005251388957"/>
    <x v="9"/>
    <x v="0"/>
    <d v="2000-05-25T00:00:00"/>
    <n v="25.713888888888889"/>
    <x v="1"/>
    <x v="1"/>
    <x v="0"/>
    <s v="Sharqia"/>
    <d v="2025-02-21T00:00:00"/>
    <n v="0.97499999999999998"/>
    <n v="3243"/>
    <x v="8"/>
    <x v="1"/>
  </r>
  <r>
    <n v="55280"/>
    <s v="Emp 987"/>
    <s v="30112281755921"/>
    <x v="4"/>
    <x v="1"/>
    <d v="2001-12-28T00:00:00"/>
    <n v="24.122222222222224"/>
    <x v="0"/>
    <x v="2"/>
    <x v="3"/>
    <s v="Monufia"/>
    <d v="2025-02-22T00:00:00"/>
    <n v="0.97222222222222221"/>
    <n v="14592"/>
    <x v="8"/>
    <x v="0"/>
  </r>
  <r>
    <n v="56343"/>
    <s v="Emp 988"/>
    <s v="29205192190249"/>
    <x v="4"/>
    <x v="1"/>
    <d v="1992-05-19T00:00:00"/>
    <n v="33.730555555555554"/>
    <x v="1"/>
    <x v="1"/>
    <x v="0"/>
    <s v="Giza"/>
    <d v="2025-02-23T00:00:00"/>
    <n v="0.96944444444444444"/>
    <n v="6790"/>
    <x v="8"/>
    <x v="0"/>
  </r>
  <r>
    <n v="52363"/>
    <s v="Emp 989"/>
    <s v="29001270253597"/>
    <x v="5"/>
    <x v="0"/>
    <d v="1990-01-27T00:00:00"/>
    <n v="36.041666666666664"/>
    <x v="0"/>
    <x v="1"/>
    <x v="2"/>
    <s v="Alexandria"/>
    <d v="2025-02-24T00:00:00"/>
    <n v="0.96666666666666667"/>
    <n v="3071"/>
    <x v="8"/>
    <x v="1"/>
  </r>
  <r>
    <n v="58717"/>
    <s v="Emp 990"/>
    <s v="28305141375625"/>
    <x v="0"/>
    <x v="1"/>
    <d v="1983-05-14T00:00:00"/>
    <n v="42.744444444444447"/>
    <x v="0"/>
    <x v="1"/>
    <x v="4"/>
    <s v="Sharqia"/>
    <d v="2025-02-25T00:00:00"/>
    <n v="0.96388888888888891"/>
    <n v="3772"/>
    <x v="8"/>
    <x v="1"/>
  </r>
  <r>
    <n v="57799"/>
    <s v="Emp 991"/>
    <s v="30307161787432"/>
    <x v="8"/>
    <x v="0"/>
    <d v="2003-07-16T00:00:00"/>
    <n v="22.572222222222223"/>
    <x v="0"/>
    <x v="1"/>
    <x v="2"/>
    <s v="Monufia"/>
    <d v="2025-02-26T00:00:00"/>
    <n v="0.96111111111111114"/>
    <n v="5050"/>
    <x v="8"/>
    <x v="1"/>
  </r>
  <r>
    <n v="57149"/>
    <s v="Emp 992"/>
    <s v="28412201986978"/>
    <x v="2"/>
    <x v="0"/>
    <d v="1984-12-20T00:00:00"/>
    <n v="41.144444444444446"/>
    <x v="1"/>
    <x v="2"/>
    <x v="0"/>
    <s v="Ismailia"/>
    <d v="2025-02-27T00:00:00"/>
    <n v="0.95833333333333337"/>
    <n v="14913"/>
    <x v="8"/>
    <x v="0"/>
  </r>
  <r>
    <n v="57170"/>
    <s v="Emp 993"/>
    <s v="29208171978315"/>
    <x v="7"/>
    <x v="0"/>
    <d v="1992-08-17T00:00:00"/>
    <n v="33.486111111111114"/>
    <x v="1"/>
    <x v="1"/>
    <x v="4"/>
    <s v="Ismailia"/>
    <d v="2025-02-28T00:00:00"/>
    <n v="0.95"/>
    <n v="5445"/>
    <x v="8"/>
    <x v="1"/>
  </r>
  <r>
    <n v="50170"/>
    <s v="Emp 994"/>
    <s v="28307182183136"/>
    <x v="1"/>
    <x v="0"/>
    <d v="1983-07-18T00:00:00"/>
    <n v="42.56666666666667"/>
    <x v="0"/>
    <x v="1"/>
    <x v="4"/>
    <s v="Giza"/>
    <d v="2025-03-01T00:00:00"/>
    <n v="0.94722222222222219"/>
    <n v="5999"/>
    <x v="9"/>
    <x v="0"/>
  </r>
  <r>
    <n v="52283"/>
    <s v="Emp 995"/>
    <s v="30203180290477"/>
    <x v="0"/>
    <x v="0"/>
    <d v="2002-03-18T00:00:00"/>
    <n v="23.9"/>
    <x v="1"/>
    <x v="1"/>
    <x v="1"/>
    <s v="Alexandria"/>
    <d v="2025-03-02T00:00:00"/>
    <n v="0.94444444444444442"/>
    <n v="5291"/>
    <x v="9"/>
    <x v="1"/>
  </r>
  <r>
    <n v="50321"/>
    <s v="Emp 996"/>
    <s v="28902281373948"/>
    <x v="1"/>
    <x v="1"/>
    <d v="1989-02-28T00:00:00"/>
    <n v="36.950000000000003"/>
    <x v="0"/>
    <x v="1"/>
    <x v="2"/>
    <s v="Sharqia"/>
    <d v="2025-03-03T00:00:00"/>
    <n v="0.94166666666666665"/>
    <n v="5611"/>
    <x v="9"/>
    <x v="1"/>
  </r>
  <r>
    <n v="59286"/>
    <s v="Emp 997"/>
    <s v="29602111953337"/>
    <x v="2"/>
    <x v="0"/>
    <d v="1996-02-11T00:00:00"/>
    <n v="30.002777777777776"/>
    <x v="0"/>
    <x v="1"/>
    <x v="3"/>
    <s v="Ismailia"/>
    <d v="2025-03-04T00:00:00"/>
    <n v="0.93888888888888888"/>
    <n v="3840"/>
    <x v="9"/>
    <x v="1"/>
  </r>
  <r>
    <n v="51746"/>
    <s v="Emp 998"/>
    <s v="28507031388063"/>
    <x v="8"/>
    <x v="1"/>
    <d v="1985-07-03T00:00:00"/>
    <n v="40.608333333333334"/>
    <x v="0"/>
    <x v="2"/>
    <x v="3"/>
    <s v="Sharqia"/>
    <d v="2025-03-05T00:00:00"/>
    <n v="0.93611111111111112"/>
    <n v="14386"/>
    <x v="9"/>
    <x v="0"/>
  </r>
  <r>
    <n v="54321"/>
    <s v="Emp 999"/>
    <s v="29101191352368"/>
    <x v="8"/>
    <x v="1"/>
    <d v="1991-01-19T00:00:00"/>
    <n v="35.06388888888889"/>
    <x v="1"/>
    <x v="1"/>
    <x v="0"/>
    <s v="Sharqia"/>
    <d v="2025-03-06T00:00:00"/>
    <n v="0.93333333333333335"/>
    <n v="3141"/>
    <x v="9"/>
    <x v="1"/>
  </r>
  <r>
    <n v="50846"/>
    <s v="Emp 1000"/>
    <s v="29602231790654"/>
    <x v="5"/>
    <x v="0"/>
    <d v="1996-02-23T00:00:00"/>
    <n v="29.969444444444445"/>
    <x v="0"/>
    <x v="2"/>
    <x v="3"/>
    <s v="Monufia"/>
    <d v="2025-03-07T00:00:00"/>
    <n v="0.93055555555555558"/>
    <n v="7000"/>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349E46-A67D-4BAD-9517-41E2F102A92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9:B65"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pivotField showAll="0">
      <items count="4">
        <item x="1"/>
        <item x="0"/>
        <item x="2"/>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items count="13">
        <item x="7"/>
        <item x="8"/>
        <item x="9"/>
        <item x="10"/>
        <item x="11"/>
        <item x="0"/>
        <item x="1"/>
        <item x="2"/>
        <item x="3"/>
        <item x="4"/>
        <item x="5"/>
        <item x="6"/>
        <item t="default"/>
      </items>
    </pivotField>
    <pivotField showAll="0"/>
  </pivotFields>
  <rowFields count="1">
    <field x="9"/>
  </rowFields>
  <rowItems count="6">
    <i>
      <x v="2"/>
    </i>
    <i>
      <x v="1"/>
    </i>
    <i>
      <x/>
    </i>
    <i>
      <x v="4"/>
    </i>
    <i>
      <x v="3"/>
    </i>
    <i t="grand">
      <x/>
    </i>
  </rowItems>
  <colItems count="1">
    <i/>
  </colItems>
  <dataFields count="1">
    <dataField name="Sum of Salary" fld="13" baseField="0" baseItem="0"/>
  </dataFields>
  <chartFormats count="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BFB65-CFC5-49BF-A74A-3C117FBF37F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6" firstHeaderRow="1" firstDataRow="1" firstDataCol="1"/>
  <pivotFields count="16">
    <pivotField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4"/>
  </rowFields>
  <rowItems count="3">
    <i>
      <x v="1"/>
    </i>
    <i>
      <x/>
    </i>
    <i t="grand">
      <x/>
    </i>
  </rowItems>
  <colItems count="1">
    <i/>
  </colItems>
  <dataFields count="1">
    <dataField name="Count of Gender"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5F7293-1B94-49F6-A232-5EDD1F0C8C9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6">
    <pivotField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4"/>
  </rowFields>
  <rowItems count="3">
    <i>
      <x v="1"/>
    </i>
    <i>
      <x/>
    </i>
    <i t="grand">
      <x/>
    </i>
  </rowItems>
  <colItems count="1">
    <i/>
  </colItems>
  <dataFields count="1">
    <dataField name="Count of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3AD658-4157-461D-A165-8D63649670FB}"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5:B56" firstHeaderRow="1" firstDataRow="1" firstDataCol="1"/>
  <pivotFields count="16">
    <pivotField showAll="0"/>
    <pivotField showAll="0"/>
    <pivotField showAll="0"/>
    <pivotField axis="axisRow" showAll="0" sortType="descending">
      <items count="11">
        <item x="3"/>
        <item x="4"/>
        <item x="8"/>
        <item x="1"/>
        <item x="0"/>
        <item x="2"/>
        <item x="7"/>
        <item x="5"/>
        <item x="6"/>
        <item x="9"/>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pivotField showAll="0"/>
    <pivotField showAll="0"/>
    <pivotField showAll="0">
      <items count="4">
        <item x="1"/>
        <item x="0"/>
        <item x="2"/>
        <item t="default"/>
      </items>
    </pivotField>
    <pivotField showAll="0">
      <items count="6">
        <item x="1"/>
        <item x="3"/>
        <item x="0"/>
        <item x="2"/>
        <item x="4"/>
        <item t="default"/>
      </items>
    </pivotField>
    <pivotField showAll="0"/>
    <pivotField numFmtId="14" showAll="0"/>
    <pivotField showAll="0"/>
    <pivotField dataField="1" showAll="0"/>
    <pivotField showAll="0">
      <items count="13">
        <item x="7"/>
        <item x="8"/>
        <item x="9"/>
        <item x="10"/>
        <item x="11"/>
        <item x="0"/>
        <item x="1"/>
        <item x="2"/>
        <item x="3"/>
        <item x="4"/>
        <item x="5"/>
        <item x="6"/>
        <item t="default"/>
      </items>
    </pivotField>
    <pivotField showAll="0"/>
  </pivotFields>
  <rowFields count="1">
    <field x="3"/>
  </rowFields>
  <rowItems count="11">
    <i>
      <x v="1"/>
    </i>
    <i>
      <x v="4"/>
    </i>
    <i>
      <x v="9"/>
    </i>
    <i>
      <x v="6"/>
    </i>
    <i>
      <x v="7"/>
    </i>
    <i>
      <x v="8"/>
    </i>
    <i>
      <x/>
    </i>
    <i>
      <x v="2"/>
    </i>
    <i>
      <x v="5"/>
    </i>
    <i>
      <x v="3"/>
    </i>
    <i t="grand">
      <x/>
    </i>
  </rowItems>
  <colItems count="1">
    <i/>
  </colItems>
  <dataFields count="1">
    <dataField name="Sum of Salary" fld="13" baseField="0" baseItem="0"/>
  </dataFields>
  <chartFormats count="2">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555C4-74E8-4513-AF65-D33A35211E1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9:B33" firstHeaderRow="1" firstDataRow="1" firstDataCol="1"/>
  <pivotFields count="16">
    <pivotField showAll="0"/>
    <pivotField showAll="0"/>
    <pivotField showAll="0"/>
    <pivotField showAll="0"/>
    <pivotField showAll="0">
      <items count="3">
        <item x="1"/>
        <item x="0"/>
        <item t="default"/>
      </items>
    </pivotField>
    <pivotField numFmtId="14" showAll="0"/>
    <pivotField showAll="0"/>
    <pivotField showAll="0"/>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8"/>
  </rowFields>
  <rowItems count="4">
    <i>
      <x/>
    </i>
    <i>
      <x v="1"/>
    </i>
    <i>
      <x v="2"/>
    </i>
    <i t="grand">
      <x/>
    </i>
  </rowItems>
  <colItems count="1">
    <i/>
  </colItems>
  <dataFields count="1">
    <dataField name="Count of Position" fld="8" subtotal="count" baseField="0" baseItem="0"/>
  </dataFields>
  <chartFormats count="2">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72C14-D37C-42B2-BE98-A0314630947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5:B26" firstHeaderRow="1" firstDataRow="1" firstDataCol="1"/>
  <pivotFields count="16">
    <pivotField showAll="0"/>
    <pivotField showAll="0"/>
    <pivotField showAll="0"/>
    <pivotField axis="axisRow" dataField="1" showAll="0" sortType="descending">
      <items count="11">
        <item x="3"/>
        <item x="0"/>
        <item x="2"/>
        <item x="7"/>
        <item x="5"/>
        <item x="4"/>
        <item x="8"/>
        <item x="1"/>
        <item x="6"/>
        <item x="9"/>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pivotField showAll="0"/>
    <pivotField showAll="0"/>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3"/>
  </rowFields>
  <rowItems count="11">
    <i>
      <x v="5"/>
    </i>
    <i>
      <x v="1"/>
    </i>
    <i>
      <x v="4"/>
    </i>
    <i>
      <x v="9"/>
    </i>
    <i>
      <x v="3"/>
    </i>
    <i>
      <x v="6"/>
    </i>
    <i>
      <x v="8"/>
    </i>
    <i>
      <x/>
    </i>
    <i>
      <x v="2"/>
    </i>
    <i>
      <x v="7"/>
    </i>
    <i t="grand">
      <x/>
    </i>
  </rowItems>
  <colItems count="1">
    <i/>
  </colItems>
  <dataFields count="1">
    <dataField name="Count of Department" fld="3" subtotal="count" baseField="0" baseItem="0"/>
  </dataFields>
  <chartFormats count="2">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96AF67-6A79-4C4C-ADD5-B4A106B9E77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9:E12" firstHeaderRow="1" firstDataRow="1" firstDataCol="1"/>
  <pivotFields count="16">
    <pivotField showAll="0"/>
    <pivotField showAll="0"/>
    <pivotField showAll="0"/>
    <pivotField showAll="0"/>
    <pivotField showAll="0">
      <items count="3">
        <item x="1"/>
        <item x="0"/>
        <item t="default"/>
      </items>
    </pivotField>
    <pivotField numFmtId="14"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7"/>
  </rowFields>
  <rowItems count="3">
    <i>
      <x v="1"/>
    </i>
    <i>
      <x/>
    </i>
    <i t="grand">
      <x/>
    </i>
  </rowItems>
  <colItems count="1">
    <i/>
  </colItems>
  <dataFields count="1">
    <dataField name="Count of PayType"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185D40-BC8B-452F-B232-3C2A3A27251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5:E18" firstHeaderRow="1" firstDataRow="1" firstDataCol="1"/>
  <pivotFields count="16">
    <pivotField showAll="0"/>
    <pivotField showAll="0"/>
    <pivotField showAll="0"/>
    <pivotField showAll="0"/>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axis="axisRow" dataField="1" showAll="0">
      <items count="3">
        <item x="0"/>
        <item x="1"/>
        <item t="default"/>
      </items>
    </pivotField>
  </pivotFields>
  <rowFields count="1">
    <field x="15"/>
  </rowFields>
  <rowItems count="3">
    <i>
      <x/>
    </i>
    <i>
      <x v="1"/>
    </i>
    <i t="grand">
      <x/>
    </i>
  </rowItems>
  <colItems count="1">
    <i/>
  </colItems>
  <dataFields count="1">
    <dataField name="Count of RATING"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876A5E-CCEA-464D-9E89-CD5C831408F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B12" firstHeaderRow="1" firstDataRow="1" firstDataCol="1"/>
  <pivotFields count="16">
    <pivotField showAll="0"/>
    <pivotField showAll="0"/>
    <pivotField showAll="0"/>
    <pivotField showAll="0"/>
    <pivotField showAll="0">
      <items count="3">
        <item x="1"/>
        <item x="0"/>
        <item t="default"/>
      </items>
    </pivotField>
    <pivotField numFmtId="14"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7"/>
  </rowFields>
  <rowItems count="3">
    <i>
      <x v="1"/>
    </i>
    <i>
      <x/>
    </i>
    <i t="grand">
      <x/>
    </i>
  </rowItems>
  <colItems count="1">
    <i/>
  </colItems>
  <dataFields count="1">
    <dataField name="Count of PayTyp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907CCE-3303-4B04-9161-C8BDECA7C8E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6:B42"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pivotField showAll="0">
      <items count="4">
        <item x="1"/>
        <item x="0"/>
        <item x="2"/>
        <item t="default"/>
      </items>
    </pivotField>
    <pivotField axis="axisRow" dataField="1"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9"/>
  </rowFields>
  <rowItems count="6">
    <i>
      <x v="4"/>
    </i>
    <i>
      <x v="2"/>
    </i>
    <i>
      <x v="1"/>
    </i>
    <i>
      <x v="3"/>
    </i>
    <i>
      <x/>
    </i>
    <i t="grand">
      <x/>
    </i>
  </rowItems>
  <colItems count="1">
    <i/>
  </colItems>
  <dataFields count="1">
    <dataField name="Count of Branch" fld="9" subtotal="count" baseField="0" baseItem="0"/>
  </dataFields>
  <chartFormats count="2">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209DA3-7CEE-4A1C-834A-0F1642624E8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I4"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axis="axisRow" dataField="1" showAll="0">
      <items count="3">
        <item x="0"/>
        <item x="1"/>
        <item t="default"/>
      </items>
    </pivotField>
  </pivotFields>
  <rowFields count="1">
    <field x="15"/>
  </rowFields>
  <rowItems count="3">
    <i>
      <x/>
    </i>
    <i>
      <x v="1"/>
    </i>
    <i t="grand">
      <x/>
    </i>
  </rowItems>
  <colItems count="1">
    <i/>
  </colItems>
  <dataFields count="1">
    <dataField name="Count of RATING"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1284AB-F609-4C26-A1B7-B2CC0C2C55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2:E43" firstHeaderRow="1" firstDataRow="1" firstDataCol="1"/>
  <pivotFields count="16">
    <pivotField showAll="0"/>
    <pivotField showAll="0"/>
    <pivotField showAll="0"/>
    <pivotField axis="axisRow" showAll="0" sortType="descending">
      <items count="11">
        <item x="3"/>
        <item x="4"/>
        <item x="8"/>
        <item x="1"/>
        <item x="0"/>
        <item x="2"/>
        <item x="7"/>
        <item x="5"/>
        <item x="6"/>
        <item x="9"/>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dataField="1" showAll="0"/>
    <pivotField showAll="0">
      <items count="13">
        <item x="7"/>
        <item x="8"/>
        <item x="9"/>
        <item x="10"/>
        <item x="11"/>
        <item x="0"/>
        <item x="1"/>
        <item x="2"/>
        <item x="3"/>
        <item x="4"/>
        <item x="5"/>
        <item x="6"/>
        <item t="default"/>
      </items>
    </pivotField>
    <pivotField showAll="0"/>
  </pivotFields>
  <rowFields count="1">
    <field x="3"/>
  </rowFields>
  <rowItems count="11">
    <i>
      <x v="1"/>
    </i>
    <i>
      <x v="4"/>
    </i>
    <i>
      <x v="9"/>
    </i>
    <i>
      <x v="6"/>
    </i>
    <i>
      <x v="7"/>
    </i>
    <i>
      <x v="8"/>
    </i>
    <i>
      <x/>
    </i>
    <i>
      <x v="2"/>
    </i>
    <i>
      <x v="5"/>
    </i>
    <i>
      <x v="3"/>
    </i>
    <i t="grand">
      <x/>
    </i>
  </rowItems>
  <colItems count="1">
    <i/>
  </colItems>
  <dataFields count="1">
    <dataField name="Sum of Salary" fld="13" baseField="0" baseItem="0"/>
  </dataField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5"/>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8"/>
          </reference>
        </references>
      </pivotArea>
    </chartFormat>
    <chartFormat chart="3" format="8">
      <pivotArea type="data" outline="0" fieldPosition="0">
        <references count="2">
          <reference field="4294967294" count="1" selected="0">
            <x v="0"/>
          </reference>
          <reference field="3" count="1" selected="0">
            <x v="7"/>
          </reference>
        </references>
      </pivotArea>
    </chartFormat>
    <chartFormat chart="3" format="9">
      <pivotArea type="data" outline="0" fieldPosition="0">
        <references count="2">
          <reference field="4294967294" count="1" selected="0">
            <x v="0"/>
          </reference>
          <reference field="3" count="1" selected="0">
            <x v="6"/>
          </reference>
        </references>
      </pivotArea>
    </chartFormat>
    <chartFormat chart="3" format="10">
      <pivotArea type="data" outline="0" fieldPosition="0">
        <references count="2">
          <reference field="4294967294" count="1" selected="0">
            <x v="0"/>
          </reference>
          <reference field="3" count="1" selected="0">
            <x v="9"/>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D3DE11-F3BC-43AB-8F27-908FD7B314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B32"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items count="3">
        <item x="1"/>
        <item x="0"/>
        <item t="default"/>
      </items>
    </pivotField>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8"/>
  </rowFields>
  <rowItems count="4">
    <i>
      <x/>
    </i>
    <i>
      <x v="1"/>
    </i>
    <i>
      <x v="2"/>
    </i>
    <i t="grand">
      <x/>
    </i>
  </rowItems>
  <colItems count="1">
    <i/>
  </colItems>
  <dataFields count="1">
    <dataField name="Count of Position" fld="8" subtotal="count"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CC25BE-FFD6-4E5C-9871-263267BB39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20"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axis="axisRow" dataField="1"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9"/>
  </rowFields>
  <rowItems count="6">
    <i>
      <x v="4"/>
    </i>
    <i>
      <x v="2"/>
    </i>
    <i>
      <x v="1"/>
    </i>
    <i>
      <x v="3"/>
    </i>
    <i>
      <x/>
    </i>
    <i t="grand">
      <x/>
    </i>
  </rowItems>
  <colItems count="1">
    <i/>
  </colItems>
  <dataFields count="1">
    <dataField name="Count of Branch" fld="9"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1A4D02-48FD-4189-A703-4E2D464013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3:E29"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items count="13">
        <item x="7"/>
        <item x="8"/>
        <item x="9"/>
        <item x="10"/>
        <item x="11"/>
        <item x="0"/>
        <item x="1"/>
        <item x="2"/>
        <item x="3"/>
        <item x="4"/>
        <item x="5"/>
        <item x="6"/>
        <item t="default"/>
      </items>
    </pivotField>
    <pivotField showAll="0"/>
  </pivotFields>
  <rowFields count="1">
    <field x="9"/>
  </rowFields>
  <rowItems count="6">
    <i>
      <x v="2"/>
    </i>
    <i>
      <x v="1"/>
    </i>
    <i>
      <x/>
    </i>
    <i>
      <x v="4"/>
    </i>
    <i>
      <x v="3"/>
    </i>
    <i t="grand">
      <x/>
    </i>
  </rowItems>
  <colItems count="1">
    <i/>
  </colItems>
  <dataFields count="1">
    <dataField name="Sum of Salary" fld="13"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DEF69BD-972C-4EF3-A29D-FB1B5E8A77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41" firstHeaderRow="1" firstDataRow="1" firstDataCol="1"/>
  <pivotFields count="16">
    <pivotField showAll="0"/>
    <pivotField showAll="0"/>
    <pivotField showAll="0"/>
    <pivotField showAll="0">
      <items count="11">
        <item x="3"/>
        <item x="4"/>
        <item x="8"/>
        <item x="1"/>
        <item x="0"/>
        <item x="2"/>
        <item x="7"/>
        <item x="5"/>
        <item x="6"/>
        <item x="9"/>
        <item t="default"/>
      </items>
    </pivotField>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axis="axisRow" dataField="1"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9"/>
  </rowFields>
  <rowItems count="6">
    <i>
      <x v="4"/>
    </i>
    <i>
      <x v="2"/>
    </i>
    <i>
      <x v="1"/>
    </i>
    <i>
      <x v="3"/>
    </i>
    <i>
      <x/>
    </i>
    <i t="grand">
      <x/>
    </i>
  </rowItems>
  <colItems count="1">
    <i/>
  </colItems>
  <dataFields count="1">
    <dataField name="Count of Branch" fld="9"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3F10006-C8D6-4A70-9266-4B775DDB1F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B25" firstHeaderRow="1" firstDataRow="1" firstDataCol="1"/>
  <pivotFields count="16">
    <pivotField showAll="0"/>
    <pivotField showAll="0"/>
    <pivotField showAll="0"/>
    <pivotField axis="axisRow" dataField="1" showAll="0" sortType="descending">
      <items count="11">
        <item x="3"/>
        <item x="4"/>
        <item x="8"/>
        <item x="1"/>
        <item x="0"/>
        <item x="2"/>
        <item x="7"/>
        <item x="5"/>
        <item x="6"/>
        <item x="9"/>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pivotField showAll="0"/>
    <pivotField showAll="0">
      <items count="3">
        <item x="1"/>
        <item x="0"/>
        <item t="default"/>
      </items>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3"/>
  </rowFields>
  <rowItems count="11">
    <i>
      <x v="1"/>
    </i>
    <i>
      <x v="4"/>
    </i>
    <i>
      <x v="7"/>
    </i>
    <i>
      <x v="9"/>
    </i>
    <i>
      <x v="6"/>
    </i>
    <i>
      <x v="2"/>
    </i>
    <i>
      <x v="8"/>
    </i>
    <i>
      <x/>
    </i>
    <i>
      <x v="5"/>
    </i>
    <i>
      <x v="3"/>
    </i>
    <i t="grand">
      <x/>
    </i>
  </rowItems>
  <colItems count="1">
    <i/>
  </colItems>
  <dataFields count="1">
    <dataField name="Count of Department" fld="3" subtotal="count"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BE340E4-17B5-4055-A46C-746EBD9F73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1" firstHeaderRow="1" firstDataRow="1" firstDataCol="1"/>
  <pivotFields count="16">
    <pivotField showAll="0"/>
    <pivotField showAll="0"/>
    <pivotField showAll="0"/>
    <pivotField showAll="0"/>
    <pivotField showAll="0">
      <items count="3">
        <item x="1"/>
        <item x="0"/>
        <item t="default"/>
      </items>
    </pivotField>
    <pivotField numFmtId="14"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7"/>
  </rowFields>
  <rowItems count="3">
    <i>
      <x v="1"/>
    </i>
    <i>
      <x/>
    </i>
    <i t="grand">
      <x/>
    </i>
  </rowItems>
  <colItems count="1">
    <i/>
  </colItems>
  <dataFields count="1">
    <dataField name="Count of PayType"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B8F36D0-2F62-4CD5-8EA9-9E087A1D57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4" firstHeaderRow="1" firstDataRow="1" firstDataCol="1"/>
  <pivotFields count="16">
    <pivotField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4"/>
  </rowFields>
  <rowItems count="3">
    <i>
      <x v="1"/>
    </i>
    <i>
      <x/>
    </i>
    <i t="grand">
      <x/>
    </i>
  </rowItems>
  <colItems count="1">
    <i/>
  </colItems>
  <dataFields count="1">
    <dataField name="Count of Gender"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B6FC7FD-4EFC-4B6D-B2D3-DF31FE0438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6">
    <pivotField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4"/>
  </rowFields>
  <rowItems count="3">
    <i>
      <x v="1"/>
    </i>
    <i>
      <x/>
    </i>
    <i t="grand">
      <x/>
    </i>
  </rowItems>
  <colItems count="1">
    <i/>
  </colItems>
  <dataFields count="1">
    <dataField name="Count of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16E41F4-CB40-493B-868A-D2743FB82E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16">
    <pivotField showAll="0"/>
    <pivotField showAll="0"/>
    <pivotField showAll="0"/>
    <pivotField showAll="0"/>
    <pivotField showAll="0">
      <items count="3">
        <item x="1"/>
        <item x="0"/>
        <item t="default"/>
      </items>
    </pivotField>
    <pivotField numFmtId="14"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1"/>
        <item x="3"/>
        <item x="0"/>
        <item x="2"/>
        <item x="4"/>
        <item t="default"/>
      </items>
    </pivotField>
    <pivotField showAll="0"/>
    <pivotField numFmtId="14" showAll="0"/>
    <pivotField showAll="0"/>
    <pivotField showAll="0"/>
    <pivotField showAll="0">
      <items count="13">
        <item x="7"/>
        <item x="8"/>
        <item x="9"/>
        <item x="10"/>
        <item x="11"/>
        <item x="0"/>
        <item x="1"/>
        <item x="2"/>
        <item x="3"/>
        <item x="4"/>
        <item x="5"/>
        <item x="6"/>
        <item t="default"/>
      </items>
    </pivotField>
    <pivotField showAll="0"/>
  </pivotFields>
  <rowFields count="1">
    <field x="7"/>
  </rowFields>
  <rowItems count="3">
    <i>
      <x v="1"/>
    </i>
    <i>
      <x/>
    </i>
    <i t="grand">
      <x/>
    </i>
  </rowItems>
  <colItems count="1">
    <i/>
  </colItems>
  <dataFields count="1">
    <dataField name="Count of PayTyp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F74ACD41-B238-4CA8-B7E1-107214489CB3}" sourceName="Position">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s>
  <data>
    <tabular pivotCacheId="107326114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AE633A9-1F4B-4BA3-B487-9947212BA188}" sourceName="Branch">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s>
  <data>
    <tabular pivotCacheId="1073261145">
      <items count="5">
        <i x="1" s="1"/>
        <i x="3"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month" xr10:uid="{8B459192-BF82-4755-ABA6-78BBD86E3C72}" sourceName="name of month">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s>
  <data>
    <tabular pivotCacheId="1073261145">
      <items count="12">
        <i x="7" s="1"/>
        <i x="8" s="1"/>
        <i x="9" s="1"/>
        <i x="10" s="1"/>
        <i x="11" s="1"/>
        <i x="0" s="1"/>
        <i x="1" s="1"/>
        <i x="2" s="1"/>
        <i x="3" s="1"/>
        <i x="4"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20EB625F-C64D-4DFC-A954-8BAA61182FC5}" sourceName="Position">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 tabId="12" name="PivotTable10"/>
    <pivotTable tabId="12" name="PivotTable11"/>
  </pivotTables>
  <data>
    <tabular pivotCacheId="1073261145">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61FD4E48-B2FB-471D-A131-47E7DA6C1A7F}" sourceName="Branch">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 tabId="12" name="PivotTable10"/>
    <pivotTable tabId="12" name="PivotTable11"/>
  </pivotTables>
  <data>
    <tabular pivotCacheId="1073261145">
      <items count="5">
        <i x="1" s="1"/>
        <i x="3" s="1"/>
        <i x="0"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month1" xr10:uid="{7FA86F6A-D4F7-485F-A34E-00CA1747998E}" sourceName="name of month">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 tabId="12" name="PivotTable10"/>
    <pivotTable tabId="12" name="PivotTable11"/>
  </pivotTables>
  <data>
    <tabular pivotCacheId="1073261145">
      <items count="12">
        <i x="7" s="1"/>
        <i x="8" s="1"/>
        <i x="9" s="1"/>
        <i x="10" s="1"/>
        <i x="11" s="1"/>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72E350D2-F1A1-4851-90E4-71291CA89CD1}" cache="Slicer_Position" caption="Position" rowHeight="230716"/>
  <slicer name="Branch" xr10:uid="{40345FE7-C7C4-4D61-880C-8F2F6A2249D4}" cache="Slicer_Branch" caption="Branch" rowHeight="230716"/>
  <slicer name="name of month" xr10:uid="{7D927B20-0416-41B7-9E1E-9717F2026381}" cache="Slicer_name_of_month" caption="name of month"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4" xr10:uid="{ADC1975E-0A6F-410F-82AC-D689DBD502C3}" cache="Slicer_Position1" caption="Position" rowHeight="234950"/>
  <slicer name="Branch 4" xr10:uid="{ACDF54DF-1335-40E6-99D2-E4341D025099}" cache="Slicer_Branch1" caption="Branch" rowHeight="234950"/>
  <slicer name="name of month 4" xr10:uid="{471124A6-D8C9-4D3C-B4DE-0E7C680DA72B}" cache="Slicer_name_of_month1" caption="name of month" columnCount="1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3" xr10:uid="{E0928C7C-4037-4E33-A49D-A01A65FCBB13}" cache="Slicer_Position1" caption="Position" rowHeight="234950"/>
  <slicer name="Branch 3" xr10:uid="{72A2F230-7138-40E7-96F1-CD556C6D5B47}" cache="Slicer_Branch1" caption="Branch" rowHeight="234950"/>
  <slicer name="name of month 3" xr10:uid="{6891AB68-3EFA-4BBE-981C-7E1A2CD07AF5}" cache="Slicer_name_of_month1" caption="name of 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7B7B9A-4A88-4813-9D4B-A7E9158F09AB}" name="Table2" displayName="Table2" ref="A1:P1001" totalsRowShown="0" headerRowDxfId="18" dataDxfId="17" tableBorderDxfId="16">
  <autoFilter ref="A1:P1001" xr:uid="{227B7B9A-4A88-4813-9D4B-A7E9158F09AB}"/>
  <tableColumns count="16">
    <tableColumn id="1" xr3:uid="{0CAD74FD-8360-417E-8BE2-20A058C28ECA}" name="EmpID" dataDxfId="15"/>
    <tableColumn id="2" xr3:uid="{6FABBDCD-5C0B-4248-A60D-798EC2E9BF75}" name="Name" dataDxfId="14"/>
    <tableColumn id="3" xr3:uid="{E672BFF4-47E2-46CA-800A-FE27E819338B}" name="ID No." dataDxfId="13"/>
    <tableColumn id="4" xr3:uid="{C2B2DA7A-75D5-4A25-903A-C11046D4CF49}" name="Department" dataDxfId="12"/>
    <tableColumn id="5" xr3:uid="{068F4EB7-F298-43B0-861B-F5C3E7E1E0CD}" name="Gender" dataDxfId="11"/>
    <tableColumn id="6" xr3:uid="{8F86FB72-A09B-4E74-8ACF-68278C78F852}" name="DOB" dataDxfId="10"/>
    <tableColumn id="7" xr3:uid="{BE43EC7B-8A02-4B4F-ACEE-EB252504397D}" name="Age" dataDxfId="9">
      <calculatedColumnFormula>YEARFRAC(F2,TODAY())</calculatedColumnFormula>
    </tableColumn>
    <tableColumn id="8" xr3:uid="{BF42061D-96C3-4535-AE41-1C328DC50698}" name="PayType" dataDxfId="8"/>
    <tableColumn id="9" xr3:uid="{870B4A25-FB72-4591-9F4E-09CBD3C10C53}" name="Position" dataDxfId="7"/>
    <tableColumn id="10" xr3:uid="{016AFF85-BA51-48EE-95BB-E04AF6A43F4C}" name="Branch" dataDxfId="6"/>
    <tableColumn id="11" xr3:uid="{648C8DE0-832E-4B21-9A84-D1CD62C41944}" name="Place of Birth" dataDxfId="5"/>
    <tableColumn id="12" xr3:uid="{CEE965EC-A554-497F-AFE2-839E648B4448}" name="Hire date" dataDxfId="4"/>
    <tableColumn id="13" xr3:uid="{EFEE66EC-31CB-45CC-8A05-67F60803DE51}" name="Years no." dataDxfId="3">
      <calculatedColumnFormula>YEARFRAC(L2,TODAY())</calculatedColumnFormula>
    </tableColumn>
    <tableColumn id="14" xr3:uid="{3BB001F3-A156-4687-B96C-E8A1DCCC4A38}" name="Salary" dataDxfId="2"/>
    <tableColumn id="15" xr3:uid="{A91435DD-86B9-485C-8466-64ADE5288458}" name="name of month" dataDxfId="1">
      <calculatedColumnFormula>TEXT(L2,"mmm")</calculatedColumnFormula>
    </tableColumn>
    <tableColumn id="16" xr3:uid="{887D453C-386A-40D8-8D2C-1D6E3DF6FF1D}" name="RATING" dataDxfId="0">
      <calculatedColumnFormula>IF(N2&gt;=S$10,"راتب طبيعي","راتب عالي")</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microsoft.com/office/2007/relationships/slicer" Target="../slicers/slicer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0449D-34CC-43EB-8A08-BD94ABA816F8}">
  <dimension ref="A3:E65"/>
  <sheetViews>
    <sheetView rightToLeft="1" topLeftCell="A11" zoomScale="85" zoomScaleNormal="85" workbookViewId="0">
      <selection activeCell="B18" sqref="B18"/>
    </sheetView>
  </sheetViews>
  <sheetFormatPr defaultRowHeight="14.4" x14ac:dyDescent="0.3"/>
  <cols>
    <col min="1" max="1" width="13.77734375" bestFit="1" customWidth="1"/>
    <col min="2" max="2" width="13.44140625" bestFit="1" customWidth="1"/>
    <col min="4" max="4" width="13.77734375" bestFit="1" customWidth="1"/>
    <col min="5" max="5" width="16.21875" bestFit="1" customWidth="1"/>
  </cols>
  <sheetData>
    <row r="3" spans="1:5" x14ac:dyDescent="0.3">
      <c r="A3" s="2" t="s">
        <v>2039</v>
      </c>
      <c r="B3" t="s">
        <v>2038</v>
      </c>
      <c r="D3" s="2" t="s">
        <v>2039</v>
      </c>
      <c r="E3" t="s">
        <v>2038</v>
      </c>
    </row>
    <row r="4" spans="1:5" x14ac:dyDescent="0.3">
      <c r="A4" s="3" t="s">
        <v>17</v>
      </c>
      <c r="B4">
        <v>674</v>
      </c>
      <c r="D4" s="3" t="s">
        <v>17</v>
      </c>
      <c r="E4" s="4">
        <v>0.67400000000000004</v>
      </c>
    </row>
    <row r="5" spans="1:5" x14ac:dyDescent="0.3">
      <c r="A5" s="3" t="s">
        <v>35</v>
      </c>
      <c r="B5">
        <v>326</v>
      </c>
      <c r="D5" s="3" t="s">
        <v>35</v>
      </c>
      <c r="E5" s="4">
        <v>0.32600000000000001</v>
      </c>
    </row>
    <row r="6" spans="1:5" x14ac:dyDescent="0.3">
      <c r="A6" s="3" t="s">
        <v>2040</v>
      </c>
      <c r="B6">
        <v>1000</v>
      </c>
      <c r="D6" s="3" t="s">
        <v>2040</v>
      </c>
      <c r="E6" s="4">
        <v>1</v>
      </c>
    </row>
    <row r="9" spans="1:5" x14ac:dyDescent="0.3">
      <c r="A9" s="2" t="s">
        <v>2039</v>
      </c>
      <c r="B9" t="s">
        <v>2041</v>
      </c>
      <c r="D9" s="2" t="s">
        <v>2039</v>
      </c>
      <c r="E9" t="s">
        <v>2041</v>
      </c>
    </row>
    <row r="10" spans="1:5" x14ac:dyDescent="0.3">
      <c r="A10" s="3" t="s">
        <v>18</v>
      </c>
      <c r="B10">
        <v>530</v>
      </c>
      <c r="D10" s="3" t="s">
        <v>18</v>
      </c>
      <c r="E10" s="4">
        <v>0.53</v>
      </c>
    </row>
    <row r="11" spans="1:5" x14ac:dyDescent="0.3">
      <c r="A11" s="3" t="s">
        <v>36</v>
      </c>
      <c r="B11">
        <v>470</v>
      </c>
      <c r="D11" s="3" t="s">
        <v>36</v>
      </c>
      <c r="E11" s="4">
        <v>0.47</v>
      </c>
    </row>
    <row r="12" spans="1:5" x14ac:dyDescent="0.3">
      <c r="A12" s="3" t="s">
        <v>2040</v>
      </c>
      <c r="B12">
        <v>1000</v>
      </c>
      <c r="D12" s="3" t="s">
        <v>2040</v>
      </c>
      <c r="E12" s="4">
        <v>1</v>
      </c>
    </row>
    <row r="15" spans="1:5" x14ac:dyDescent="0.3">
      <c r="A15" s="2" t="s">
        <v>2039</v>
      </c>
      <c r="B15" t="s">
        <v>2042</v>
      </c>
      <c r="D15" s="2" t="s">
        <v>2039</v>
      </c>
      <c r="E15" t="s">
        <v>2050</v>
      </c>
    </row>
    <row r="16" spans="1:5" x14ac:dyDescent="0.3">
      <c r="A16" s="3" t="s">
        <v>40</v>
      </c>
      <c r="B16">
        <v>166</v>
      </c>
      <c r="D16" s="3" t="s">
        <v>2048</v>
      </c>
      <c r="E16">
        <v>500</v>
      </c>
    </row>
    <row r="17" spans="1:5" x14ac:dyDescent="0.3">
      <c r="A17" s="3" t="s">
        <v>16</v>
      </c>
      <c r="B17">
        <v>132</v>
      </c>
      <c r="D17" s="3" t="s">
        <v>2049</v>
      </c>
      <c r="E17">
        <v>500</v>
      </c>
    </row>
    <row r="18" spans="1:5" x14ac:dyDescent="0.3">
      <c r="A18" s="3" t="s">
        <v>43</v>
      </c>
      <c r="B18">
        <v>111</v>
      </c>
      <c r="D18" s="3" t="s">
        <v>2040</v>
      </c>
      <c r="E18">
        <v>1000</v>
      </c>
    </row>
    <row r="19" spans="1:5" x14ac:dyDescent="0.3">
      <c r="A19" s="3" t="s">
        <v>146</v>
      </c>
      <c r="B19">
        <v>108</v>
      </c>
    </row>
    <row r="20" spans="1:5" x14ac:dyDescent="0.3">
      <c r="A20" s="3" t="s">
        <v>66</v>
      </c>
      <c r="B20">
        <v>95</v>
      </c>
    </row>
    <row r="21" spans="1:5" x14ac:dyDescent="0.3">
      <c r="A21" s="3" t="s">
        <v>95</v>
      </c>
      <c r="B21">
        <v>92</v>
      </c>
    </row>
    <row r="22" spans="1:5" x14ac:dyDescent="0.3">
      <c r="A22" s="3" t="s">
        <v>53</v>
      </c>
      <c r="B22">
        <v>91</v>
      </c>
    </row>
    <row r="23" spans="1:5" x14ac:dyDescent="0.3">
      <c r="A23" s="3" t="s">
        <v>34</v>
      </c>
      <c r="B23">
        <v>90</v>
      </c>
    </row>
    <row r="24" spans="1:5" x14ac:dyDescent="0.3">
      <c r="A24" s="3" t="s">
        <v>30</v>
      </c>
      <c r="B24">
        <v>80</v>
      </c>
    </row>
    <row r="25" spans="1:5" x14ac:dyDescent="0.3">
      <c r="A25" s="3" t="s">
        <v>24</v>
      </c>
      <c r="B25">
        <v>35</v>
      </c>
    </row>
    <row r="26" spans="1:5" x14ac:dyDescent="0.3">
      <c r="A26" s="3" t="s">
        <v>2040</v>
      </c>
      <c r="B26">
        <v>1000</v>
      </c>
    </row>
    <row r="29" spans="1:5" x14ac:dyDescent="0.3">
      <c r="A29" s="2" t="s">
        <v>2039</v>
      </c>
      <c r="B29" t="s">
        <v>2043</v>
      </c>
    </row>
    <row r="30" spans="1:5" x14ac:dyDescent="0.3">
      <c r="A30" s="3" t="s">
        <v>25</v>
      </c>
      <c r="B30">
        <v>671</v>
      </c>
    </row>
    <row r="31" spans="1:5" x14ac:dyDescent="0.3">
      <c r="A31" s="3" t="s">
        <v>19</v>
      </c>
      <c r="B31">
        <v>170</v>
      </c>
    </row>
    <row r="32" spans="1:5" x14ac:dyDescent="0.3">
      <c r="A32" s="3" t="s">
        <v>46</v>
      </c>
      <c r="B32">
        <v>159</v>
      </c>
    </row>
    <row r="33" spans="1:2" x14ac:dyDescent="0.3">
      <c r="A33" s="3" t="s">
        <v>2040</v>
      </c>
      <c r="B33">
        <v>1000</v>
      </c>
    </row>
    <row r="36" spans="1:2" x14ac:dyDescent="0.3">
      <c r="A36" s="2" t="s">
        <v>2039</v>
      </c>
      <c r="B36" t="s">
        <v>2044</v>
      </c>
    </row>
    <row r="37" spans="1:2" x14ac:dyDescent="0.3">
      <c r="A37" s="3" t="s">
        <v>27</v>
      </c>
      <c r="B37">
        <v>213</v>
      </c>
    </row>
    <row r="38" spans="1:2" x14ac:dyDescent="0.3">
      <c r="A38" s="3" t="s">
        <v>20</v>
      </c>
      <c r="B38">
        <v>204</v>
      </c>
    </row>
    <row r="39" spans="1:2" x14ac:dyDescent="0.3">
      <c r="A39" s="3" t="s">
        <v>21</v>
      </c>
      <c r="B39">
        <v>203</v>
      </c>
    </row>
    <row r="40" spans="1:2" x14ac:dyDescent="0.3">
      <c r="A40" s="3" t="s">
        <v>31</v>
      </c>
      <c r="B40">
        <v>192</v>
      </c>
    </row>
    <row r="41" spans="1:2" x14ac:dyDescent="0.3">
      <c r="A41" s="3" t="s">
        <v>26</v>
      </c>
      <c r="B41">
        <v>188</v>
      </c>
    </row>
    <row r="42" spans="1:2" x14ac:dyDescent="0.3">
      <c r="A42" s="3" t="s">
        <v>2040</v>
      </c>
      <c r="B42">
        <v>1000</v>
      </c>
    </row>
    <row r="45" spans="1:2" x14ac:dyDescent="0.3">
      <c r="A45" s="2" t="s">
        <v>2039</v>
      </c>
      <c r="B45" t="s">
        <v>2045</v>
      </c>
    </row>
    <row r="46" spans="1:2" x14ac:dyDescent="0.3">
      <c r="A46" s="3" t="s">
        <v>40</v>
      </c>
      <c r="B46">
        <v>1570859</v>
      </c>
    </row>
    <row r="47" spans="1:2" x14ac:dyDescent="0.3">
      <c r="A47" s="3" t="s">
        <v>16</v>
      </c>
      <c r="B47">
        <v>1371364</v>
      </c>
    </row>
    <row r="48" spans="1:2" x14ac:dyDescent="0.3">
      <c r="A48" s="3" t="s">
        <v>146</v>
      </c>
      <c r="B48">
        <v>1009969</v>
      </c>
    </row>
    <row r="49" spans="1:2" x14ac:dyDescent="0.3">
      <c r="A49" s="3" t="s">
        <v>66</v>
      </c>
      <c r="B49">
        <v>953198</v>
      </c>
    </row>
    <row r="50" spans="1:2" x14ac:dyDescent="0.3">
      <c r="A50" s="3" t="s">
        <v>43</v>
      </c>
      <c r="B50">
        <v>947425</v>
      </c>
    </row>
    <row r="51" spans="1:2" x14ac:dyDescent="0.3">
      <c r="A51" s="3" t="s">
        <v>53</v>
      </c>
      <c r="B51">
        <v>861686</v>
      </c>
    </row>
    <row r="52" spans="1:2" x14ac:dyDescent="0.3">
      <c r="A52" s="3" t="s">
        <v>34</v>
      </c>
      <c r="B52">
        <v>848561</v>
      </c>
    </row>
    <row r="53" spans="1:2" x14ac:dyDescent="0.3">
      <c r="A53" s="3" t="s">
        <v>95</v>
      </c>
      <c r="B53">
        <v>797470</v>
      </c>
    </row>
    <row r="54" spans="1:2" x14ac:dyDescent="0.3">
      <c r="A54" s="3" t="s">
        <v>30</v>
      </c>
      <c r="B54">
        <v>654860</v>
      </c>
    </row>
    <row r="55" spans="1:2" x14ac:dyDescent="0.3">
      <c r="A55" s="3" t="s">
        <v>24</v>
      </c>
      <c r="B55">
        <v>310846</v>
      </c>
    </row>
    <row r="56" spans="1:2" x14ac:dyDescent="0.3">
      <c r="A56" s="3" t="s">
        <v>2040</v>
      </c>
      <c r="B56">
        <v>9326238</v>
      </c>
    </row>
    <row r="59" spans="1:2" x14ac:dyDescent="0.3">
      <c r="A59" s="2" t="s">
        <v>2039</v>
      </c>
      <c r="B59" t="s">
        <v>2045</v>
      </c>
    </row>
    <row r="60" spans="1:2" x14ac:dyDescent="0.3">
      <c r="A60" s="3" t="s">
        <v>20</v>
      </c>
      <c r="B60">
        <v>1964781</v>
      </c>
    </row>
    <row r="61" spans="1:2" x14ac:dyDescent="0.3">
      <c r="A61" s="3" t="s">
        <v>21</v>
      </c>
      <c r="B61">
        <v>1941358</v>
      </c>
    </row>
    <row r="62" spans="1:2" x14ac:dyDescent="0.3">
      <c r="A62" s="3" t="s">
        <v>26</v>
      </c>
      <c r="B62">
        <v>1878121</v>
      </c>
    </row>
    <row r="63" spans="1:2" x14ac:dyDescent="0.3">
      <c r="A63" s="3" t="s">
        <v>27</v>
      </c>
      <c r="B63">
        <v>1797302</v>
      </c>
    </row>
    <row r="64" spans="1:2" x14ac:dyDescent="0.3">
      <c r="A64" s="3" t="s">
        <v>31</v>
      </c>
      <c r="B64">
        <v>1744676</v>
      </c>
    </row>
    <row r="65" spans="1:2" x14ac:dyDescent="0.3">
      <c r="A65" s="3" t="s">
        <v>2040</v>
      </c>
      <c r="B65">
        <v>9326238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D411-0838-4D3E-99C3-487D2EC267FE}">
  <dimension ref="A1:R47"/>
  <sheetViews>
    <sheetView zoomScale="60" zoomScaleNormal="100" workbookViewId="0">
      <selection activeCell="V15" sqref="V15"/>
    </sheetView>
  </sheetViews>
  <sheetFormatPr defaultRowHeight="14.4" x14ac:dyDescent="0.3"/>
  <cols>
    <col min="12" max="12" width="8.109375" customWidth="1"/>
    <col min="13" max="13" width="10.109375" customWidth="1"/>
  </cols>
  <sheetData>
    <row r="1" spans="1:18" x14ac:dyDescent="0.3">
      <c r="A1" s="17"/>
      <c r="B1" s="17"/>
      <c r="C1" s="17"/>
      <c r="D1" s="17"/>
      <c r="E1" s="17"/>
      <c r="F1" s="17"/>
      <c r="G1" s="17"/>
      <c r="H1" s="17"/>
      <c r="I1" s="17"/>
      <c r="J1" s="17"/>
      <c r="K1" s="17"/>
      <c r="L1" s="17"/>
      <c r="M1" s="17"/>
      <c r="N1" s="17"/>
      <c r="O1" s="17"/>
      <c r="P1" s="17"/>
      <c r="Q1" s="17"/>
      <c r="R1" s="17"/>
    </row>
    <row r="2" spans="1:18" x14ac:dyDescent="0.3">
      <c r="A2" s="17"/>
      <c r="B2" s="17"/>
      <c r="C2" s="17"/>
      <c r="D2" s="17"/>
      <c r="E2" s="20" t="str">
        <f>'Pivot Table'!A2</f>
        <v>Male</v>
      </c>
      <c r="F2" s="20">
        <f>'Pivot Table'!B2</f>
        <v>674</v>
      </c>
      <c r="G2" s="21">
        <f>'Pivot Table'!$F$2</f>
        <v>0.67400000000000004</v>
      </c>
      <c r="H2" s="20"/>
      <c r="I2" s="21" t="str">
        <f>'Pivot Table'!A9</f>
        <v>Part Time</v>
      </c>
      <c r="J2" s="20">
        <f>'Pivot Table'!B9</f>
        <v>530</v>
      </c>
      <c r="K2" s="21">
        <f>'Pivot Table'!$F$9</f>
        <v>0.53</v>
      </c>
      <c r="L2" s="20"/>
      <c r="M2" s="20"/>
      <c r="N2" s="20"/>
      <c r="O2" s="20" t="str">
        <f>'Pivot Table'!H2</f>
        <v>راتب طبيعي</v>
      </c>
      <c r="P2" s="22">
        <f>'Pivot Table'!I2</f>
        <v>500</v>
      </c>
      <c r="Q2" s="17"/>
      <c r="R2" s="17"/>
    </row>
    <row r="3" spans="1:18" x14ac:dyDescent="0.3">
      <c r="A3" s="17"/>
      <c r="B3" s="17"/>
      <c r="C3" s="17"/>
      <c r="D3" s="17"/>
      <c r="E3" s="20"/>
      <c r="F3" s="20"/>
      <c r="G3" s="20"/>
      <c r="H3" s="20"/>
      <c r="I3" s="20"/>
      <c r="J3" s="20"/>
      <c r="K3" s="20"/>
      <c r="L3" s="20"/>
      <c r="M3" s="20"/>
      <c r="N3" s="20"/>
      <c r="O3" s="20" t="str">
        <f>'Pivot Table'!H3</f>
        <v>راتب عالي</v>
      </c>
      <c r="P3" s="20">
        <f>'Pivot Table'!I3</f>
        <v>500</v>
      </c>
      <c r="Q3" s="17"/>
      <c r="R3" s="17"/>
    </row>
    <row r="4" spans="1:18" x14ac:dyDescent="0.3">
      <c r="A4" s="17"/>
      <c r="B4" s="17"/>
      <c r="C4" s="17"/>
      <c r="D4" s="17"/>
      <c r="E4" s="20" t="str">
        <f>'Pivot Table'!A3</f>
        <v>Female</v>
      </c>
      <c r="F4" s="20">
        <f>'Pivot Table'!B3</f>
        <v>326</v>
      </c>
      <c r="G4" s="21">
        <f>'Pivot Table'!$F$3</f>
        <v>0.32600000000000001</v>
      </c>
      <c r="H4" s="20"/>
      <c r="I4" s="21" t="str">
        <f>'Pivot Table'!A10</f>
        <v>Full Time</v>
      </c>
      <c r="J4" s="20">
        <f>'Pivot Table'!B10</f>
        <v>470</v>
      </c>
      <c r="K4" s="21">
        <f>'Pivot Table'!$F$10</f>
        <v>0.47</v>
      </c>
      <c r="L4" s="20"/>
      <c r="M4" s="21"/>
      <c r="N4" s="20"/>
      <c r="O4" s="20"/>
      <c r="P4" s="20"/>
      <c r="Q4" s="17"/>
      <c r="R4" s="17"/>
    </row>
    <row r="5" spans="1:18" x14ac:dyDescent="0.3">
      <c r="A5" s="17"/>
      <c r="B5" s="17"/>
      <c r="C5" s="17"/>
      <c r="D5" s="17"/>
      <c r="E5" s="20"/>
      <c r="F5" s="20"/>
      <c r="G5" s="20"/>
      <c r="H5" s="20"/>
      <c r="I5" s="20"/>
      <c r="J5" s="20"/>
      <c r="K5" s="20"/>
      <c r="L5" s="20"/>
      <c r="M5" s="20"/>
      <c r="N5" s="20"/>
      <c r="O5" s="20"/>
      <c r="P5" s="20"/>
      <c r="Q5" s="17"/>
      <c r="R5" s="17"/>
    </row>
    <row r="6" spans="1:18" x14ac:dyDescent="0.3">
      <c r="A6" s="17"/>
      <c r="B6" s="17"/>
      <c r="C6" s="17"/>
      <c r="D6" s="17"/>
      <c r="E6" s="17"/>
      <c r="F6" s="17"/>
      <c r="G6" s="17"/>
      <c r="H6" s="17"/>
      <c r="I6" s="17"/>
      <c r="J6" s="17"/>
      <c r="K6" s="17"/>
      <c r="L6" s="17"/>
      <c r="M6" s="17"/>
      <c r="N6" s="17"/>
      <c r="O6" s="17"/>
      <c r="P6" s="17"/>
      <c r="Q6" s="17"/>
      <c r="R6" s="17"/>
    </row>
    <row r="7" spans="1:18" x14ac:dyDescent="0.3">
      <c r="A7" s="18"/>
      <c r="B7" s="18"/>
      <c r="C7" s="18"/>
      <c r="D7" s="18"/>
      <c r="E7" s="18"/>
      <c r="F7" s="18"/>
      <c r="G7" s="18"/>
      <c r="H7" s="18"/>
      <c r="I7" s="18"/>
      <c r="J7" s="18"/>
      <c r="K7" s="18"/>
      <c r="L7" s="18"/>
      <c r="M7" s="18"/>
      <c r="N7" s="18"/>
      <c r="O7" s="18"/>
      <c r="P7" s="18"/>
      <c r="Q7" s="18"/>
      <c r="R7" s="18"/>
    </row>
    <row r="8" spans="1:18" x14ac:dyDescent="0.3">
      <c r="A8" s="18"/>
      <c r="B8" s="18"/>
      <c r="C8" s="18"/>
      <c r="D8" s="18"/>
      <c r="E8" s="18"/>
      <c r="F8" s="18"/>
      <c r="G8" s="18"/>
      <c r="H8" s="18"/>
      <c r="I8" s="18"/>
      <c r="J8" s="18"/>
      <c r="K8" s="18"/>
      <c r="L8" s="18"/>
      <c r="M8" s="18"/>
      <c r="N8" s="18"/>
      <c r="O8" s="18"/>
      <c r="P8" s="18"/>
      <c r="Q8" s="18"/>
      <c r="R8" s="18"/>
    </row>
    <row r="9" spans="1:18" x14ac:dyDescent="0.3">
      <c r="A9" s="18"/>
      <c r="B9" s="18"/>
      <c r="C9" s="18"/>
      <c r="D9" s="18"/>
      <c r="E9" s="18"/>
      <c r="F9" s="18"/>
      <c r="G9" s="18"/>
      <c r="H9" s="18"/>
      <c r="I9" s="18"/>
      <c r="J9" s="18"/>
      <c r="K9" s="18"/>
      <c r="L9" s="18"/>
      <c r="M9" s="18"/>
      <c r="N9" s="18"/>
      <c r="O9" s="18"/>
      <c r="P9" s="18"/>
      <c r="Q9" s="18"/>
      <c r="R9" s="18"/>
    </row>
    <row r="10" spans="1:18" x14ac:dyDescent="0.3">
      <c r="A10" s="18"/>
      <c r="B10" s="18"/>
      <c r="C10" s="18"/>
      <c r="D10" s="18"/>
      <c r="E10" s="18"/>
      <c r="F10" s="18"/>
      <c r="G10" s="18"/>
      <c r="H10" s="18"/>
      <c r="I10" s="18"/>
      <c r="J10" s="18"/>
      <c r="K10" s="18"/>
      <c r="L10" s="18"/>
      <c r="M10" s="18"/>
      <c r="N10" s="18"/>
      <c r="O10" s="18"/>
      <c r="P10" s="18"/>
      <c r="Q10" s="18"/>
      <c r="R10" s="18"/>
    </row>
    <row r="11" spans="1:18" x14ac:dyDescent="0.3">
      <c r="A11" s="18"/>
      <c r="B11" s="18"/>
      <c r="C11" s="18"/>
      <c r="D11" s="18"/>
      <c r="E11" s="18"/>
      <c r="F11" s="18"/>
      <c r="G11" s="18"/>
      <c r="H11" s="18"/>
      <c r="I11" s="18"/>
      <c r="J11" s="18"/>
      <c r="K11" s="18"/>
      <c r="L11" s="18"/>
      <c r="M11" s="18"/>
      <c r="N11" s="18"/>
      <c r="O11" s="18"/>
      <c r="P11" s="18"/>
      <c r="Q11" s="18"/>
      <c r="R11" s="18"/>
    </row>
    <row r="12" spans="1:18" x14ac:dyDescent="0.3">
      <c r="A12" s="18"/>
      <c r="B12" s="18"/>
      <c r="C12" s="18"/>
      <c r="D12" s="18"/>
      <c r="E12" s="18"/>
      <c r="F12" s="18"/>
      <c r="G12" s="18"/>
      <c r="H12" s="18"/>
      <c r="I12" s="18"/>
      <c r="J12" s="18"/>
      <c r="K12" s="18"/>
      <c r="L12" s="18"/>
      <c r="M12" s="18"/>
      <c r="N12" s="18"/>
      <c r="O12" s="18"/>
      <c r="P12" s="18"/>
      <c r="Q12" s="18"/>
      <c r="R12" s="18"/>
    </row>
    <row r="13" spans="1:18" x14ac:dyDescent="0.3">
      <c r="A13" s="18"/>
      <c r="B13" s="18"/>
      <c r="C13" s="18"/>
      <c r="D13" s="18"/>
      <c r="E13" s="18"/>
      <c r="F13" s="18"/>
      <c r="G13" s="18"/>
      <c r="H13" s="18"/>
      <c r="I13" s="18"/>
      <c r="J13" s="18"/>
      <c r="K13" s="18"/>
      <c r="L13" s="18"/>
      <c r="M13" s="18"/>
      <c r="N13" s="18"/>
      <c r="O13" s="18"/>
      <c r="P13" s="18"/>
      <c r="Q13" s="18"/>
      <c r="R13" s="18"/>
    </row>
    <row r="14" spans="1:18" x14ac:dyDescent="0.3">
      <c r="A14" s="18"/>
      <c r="B14" s="18"/>
      <c r="C14" s="18"/>
      <c r="D14" s="18"/>
      <c r="E14" s="18"/>
      <c r="F14" s="18"/>
      <c r="G14" s="18"/>
      <c r="H14" s="18"/>
      <c r="I14" s="18"/>
      <c r="J14" s="18"/>
      <c r="K14" s="18"/>
      <c r="L14" s="18"/>
      <c r="M14" s="18"/>
      <c r="N14" s="18"/>
      <c r="O14" s="18"/>
      <c r="P14" s="18"/>
      <c r="Q14" s="18"/>
      <c r="R14" s="18"/>
    </row>
    <row r="15" spans="1:18" x14ac:dyDescent="0.3">
      <c r="A15" s="18"/>
      <c r="B15" s="18"/>
      <c r="C15" s="18"/>
      <c r="D15" s="18"/>
      <c r="E15" s="18"/>
      <c r="F15" s="18"/>
      <c r="G15" s="18"/>
      <c r="H15" s="18"/>
      <c r="I15" s="18"/>
      <c r="J15" s="18"/>
      <c r="K15" s="18"/>
      <c r="L15" s="18"/>
      <c r="M15" s="18"/>
      <c r="N15" s="18"/>
      <c r="O15" s="18"/>
      <c r="P15" s="18"/>
      <c r="Q15" s="18"/>
      <c r="R15" s="18"/>
    </row>
    <row r="16" spans="1:18" x14ac:dyDescent="0.3">
      <c r="A16" s="18"/>
      <c r="B16" s="18"/>
      <c r="C16" s="18"/>
      <c r="D16" s="18"/>
      <c r="E16" s="18"/>
      <c r="F16" s="18"/>
      <c r="G16" s="18"/>
      <c r="H16" s="18"/>
      <c r="I16" s="18"/>
      <c r="J16" s="18"/>
      <c r="K16" s="18"/>
      <c r="L16" s="18"/>
      <c r="M16" s="18"/>
      <c r="N16" s="18"/>
      <c r="O16" s="18"/>
      <c r="P16" s="18"/>
      <c r="Q16" s="18"/>
      <c r="R16" s="18"/>
    </row>
    <row r="17" spans="1:18" x14ac:dyDescent="0.3">
      <c r="A17" s="18"/>
      <c r="B17" s="18"/>
      <c r="C17" s="18"/>
      <c r="D17" s="18"/>
      <c r="E17" s="18"/>
      <c r="F17" s="18"/>
      <c r="G17" s="18"/>
      <c r="H17" s="18"/>
      <c r="I17" s="18"/>
      <c r="J17" s="18"/>
      <c r="K17" s="18"/>
      <c r="L17" s="18"/>
      <c r="M17" s="18"/>
      <c r="N17" s="18"/>
      <c r="O17" s="18"/>
      <c r="P17" s="18"/>
      <c r="Q17" s="18"/>
      <c r="R17" s="18"/>
    </row>
    <row r="18" spans="1:18" x14ac:dyDescent="0.3">
      <c r="A18" s="18"/>
      <c r="B18" s="18"/>
      <c r="C18" s="18"/>
      <c r="D18" s="18"/>
      <c r="E18" s="18"/>
      <c r="F18" s="18"/>
      <c r="G18" s="18"/>
      <c r="H18" s="18"/>
      <c r="I18" s="18"/>
      <c r="J18" s="18"/>
      <c r="K18" s="18"/>
      <c r="L18" s="18"/>
      <c r="M18" s="18"/>
      <c r="N18" s="18"/>
      <c r="O18" s="18"/>
      <c r="P18" s="18"/>
      <c r="Q18" s="18"/>
      <c r="R18" s="18"/>
    </row>
    <row r="19" spans="1:18" x14ac:dyDescent="0.3">
      <c r="A19" s="18"/>
      <c r="B19" s="18"/>
      <c r="C19" s="18"/>
      <c r="D19" s="18"/>
      <c r="E19" s="18"/>
      <c r="F19" s="18"/>
      <c r="G19" s="18"/>
      <c r="H19" s="18"/>
      <c r="I19" s="18"/>
      <c r="J19" s="18"/>
      <c r="K19" s="18"/>
      <c r="L19" s="18"/>
      <c r="M19" s="18"/>
      <c r="N19" s="18"/>
      <c r="O19" s="18"/>
      <c r="P19" s="18"/>
      <c r="Q19" s="18"/>
      <c r="R19" s="18"/>
    </row>
    <row r="20" spans="1:18" x14ac:dyDescent="0.3">
      <c r="A20" s="18"/>
      <c r="B20" s="18"/>
      <c r="C20" s="18"/>
      <c r="D20" s="18"/>
      <c r="E20" s="18"/>
      <c r="F20" s="18"/>
      <c r="G20" s="18"/>
      <c r="H20" s="18"/>
      <c r="I20" s="18"/>
      <c r="J20" s="18"/>
      <c r="K20" s="18"/>
      <c r="L20" s="18"/>
      <c r="M20" s="18"/>
      <c r="N20" s="18"/>
      <c r="O20" s="18"/>
      <c r="P20" s="18"/>
      <c r="Q20" s="18"/>
      <c r="R20" s="18"/>
    </row>
    <row r="21" spans="1:18" x14ac:dyDescent="0.3">
      <c r="A21" s="18"/>
      <c r="B21" s="18"/>
      <c r="C21" s="18"/>
      <c r="D21" s="18"/>
      <c r="E21" s="18"/>
      <c r="F21" s="18"/>
      <c r="G21" s="18"/>
      <c r="H21" s="18"/>
      <c r="I21" s="18"/>
      <c r="J21" s="18"/>
      <c r="K21" s="18"/>
      <c r="L21" s="18"/>
      <c r="M21" s="18"/>
      <c r="N21" s="18"/>
      <c r="O21" s="18"/>
      <c r="P21" s="18"/>
      <c r="Q21" s="18"/>
      <c r="R21" s="18"/>
    </row>
    <row r="22" spans="1:18" x14ac:dyDescent="0.3">
      <c r="A22" s="18"/>
      <c r="B22" s="18"/>
      <c r="C22" s="18"/>
      <c r="D22" s="18"/>
      <c r="E22" s="18"/>
      <c r="F22" s="18"/>
      <c r="G22" s="18"/>
      <c r="H22" s="18"/>
      <c r="I22" s="18"/>
      <c r="J22" s="18"/>
      <c r="K22" s="18"/>
      <c r="L22" s="18"/>
      <c r="M22" s="18"/>
      <c r="N22" s="18"/>
      <c r="O22" s="18"/>
      <c r="P22" s="18"/>
      <c r="Q22" s="18"/>
      <c r="R22" s="18"/>
    </row>
    <row r="23" spans="1:18" x14ac:dyDescent="0.3">
      <c r="A23" s="18"/>
      <c r="B23" s="18"/>
      <c r="C23" s="18"/>
      <c r="D23" s="18"/>
      <c r="E23" s="18"/>
      <c r="F23" s="18"/>
      <c r="G23" s="18"/>
      <c r="H23" s="18"/>
      <c r="I23" s="18"/>
      <c r="J23" s="18"/>
      <c r="K23" s="18"/>
      <c r="L23" s="18"/>
      <c r="M23" s="18"/>
      <c r="N23" s="18"/>
      <c r="O23" s="18"/>
      <c r="P23" s="18"/>
      <c r="Q23" s="18"/>
      <c r="R23" s="18"/>
    </row>
    <row r="24" spans="1:18" x14ac:dyDescent="0.3">
      <c r="A24" s="18"/>
      <c r="B24" s="18"/>
      <c r="C24" s="18"/>
      <c r="D24" s="18"/>
      <c r="E24" s="18"/>
      <c r="F24" s="18"/>
      <c r="G24" s="18"/>
      <c r="H24" s="18"/>
      <c r="I24" s="18"/>
      <c r="J24" s="18"/>
      <c r="K24" s="18"/>
      <c r="L24" s="18"/>
      <c r="M24" s="18"/>
      <c r="N24" s="18"/>
      <c r="O24" s="18"/>
      <c r="P24" s="18"/>
      <c r="Q24" s="18"/>
      <c r="R24" s="18"/>
    </row>
    <row r="25" spans="1:18" x14ac:dyDescent="0.3">
      <c r="A25" s="18"/>
      <c r="B25" s="18"/>
      <c r="C25" s="18"/>
      <c r="D25" s="18"/>
      <c r="E25" s="18"/>
      <c r="F25" s="18"/>
      <c r="G25" s="18"/>
      <c r="H25" s="18"/>
      <c r="I25" s="18"/>
      <c r="J25" s="18"/>
      <c r="K25" s="18"/>
      <c r="L25" s="18"/>
      <c r="M25" s="18"/>
      <c r="N25" s="18"/>
      <c r="O25" s="18"/>
      <c r="P25" s="18"/>
      <c r="Q25" s="18"/>
      <c r="R25" s="18"/>
    </row>
    <row r="26" spans="1:18" x14ac:dyDescent="0.3">
      <c r="A26" s="18"/>
      <c r="B26" s="18"/>
      <c r="C26" s="18"/>
      <c r="D26" s="18"/>
      <c r="E26" s="18"/>
      <c r="F26" s="18"/>
      <c r="G26" s="18"/>
      <c r="H26" s="18"/>
      <c r="I26" s="18"/>
      <c r="J26" s="18"/>
      <c r="K26" s="18"/>
      <c r="L26" s="18"/>
      <c r="M26" s="18"/>
      <c r="N26" s="18"/>
      <c r="O26" s="18"/>
      <c r="P26" s="18"/>
      <c r="Q26" s="18"/>
      <c r="R26" s="18"/>
    </row>
    <row r="27" spans="1:18" x14ac:dyDescent="0.3">
      <c r="A27" s="18"/>
      <c r="B27" s="18"/>
      <c r="C27" s="18"/>
      <c r="D27" s="18"/>
      <c r="E27" s="18"/>
      <c r="F27" s="18"/>
      <c r="G27" s="18"/>
      <c r="H27" s="18"/>
      <c r="I27" s="18"/>
      <c r="J27" s="18"/>
      <c r="K27" s="18"/>
      <c r="L27" s="18"/>
      <c r="M27" s="18"/>
      <c r="N27" s="18"/>
      <c r="O27" s="18"/>
      <c r="P27" s="18"/>
      <c r="Q27" s="18"/>
      <c r="R27" s="18"/>
    </row>
    <row r="28" spans="1:18" x14ac:dyDescent="0.3">
      <c r="A28" s="18"/>
      <c r="B28" s="18"/>
      <c r="C28" s="18"/>
      <c r="D28" s="18"/>
      <c r="E28" s="18"/>
      <c r="F28" s="18"/>
      <c r="G28" s="18"/>
      <c r="H28" s="18"/>
      <c r="I28" s="18"/>
      <c r="J28" s="18"/>
      <c r="K28" s="18"/>
      <c r="L28" s="18"/>
      <c r="M28" s="18"/>
      <c r="N28" s="18"/>
      <c r="O28" s="18"/>
      <c r="P28" s="18"/>
      <c r="Q28" s="18"/>
      <c r="R28" s="18"/>
    </row>
    <row r="29" spans="1:18" x14ac:dyDescent="0.3">
      <c r="A29" s="18"/>
      <c r="B29" s="18"/>
      <c r="C29" s="18"/>
      <c r="D29" s="18"/>
      <c r="E29" s="18"/>
      <c r="F29" s="18"/>
      <c r="G29" s="18"/>
      <c r="H29" s="18"/>
      <c r="I29" s="18"/>
      <c r="J29" s="18"/>
      <c r="K29" s="18"/>
      <c r="L29" s="18"/>
      <c r="M29" s="18"/>
      <c r="N29" s="18"/>
      <c r="O29" s="18"/>
      <c r="P29" s="18"/>
      <c r="Q29" s="18"/>
      <c r="R29" s="18"/>
    </row>
    <row r="30" spans="1:18" x14ac:dyDescent="0.3">
      <c r="A30" s="18"/>
      <c r="B30" s="18"/>
      <c r="C30" s="18"/>
      <c r="D30" s="18"/>
      <c r="E30" s="18"/>
      <c r="F30" s="18"/>
      <c r="G30" s="18"/>
      <c r="H30" s="18"/>
      <c r="I30" s="18"/>
      <c r="J30" s="18"/>
      <c r="K30" s="18"/>
      <c r="L30" s="18"/>
      <c r="M30" s="18"/>
      <c r="N30" s="18"/>
      <c r="O30" s="18"/>
      <c r="P30" s="18"/>
      <c r="Q30" s="18"/>
      <c r="R30" s="18"/>
    </row>
    <row r="31" spans="1:18" x14ac:dyDescent="0.3">
      <c r="A31" s="18"/>
      <c r="B31" s="18"/>
      <c r="C31" s="18"/>
      <c r="D31" s="18"/>
      <c r="E31" s="18"/>
      <c r="F31" s="18"/>
      <c r="G31" s="18"/>
      <c r="H31" s="18"/>
      <c r="I31" s="18"/>
      <c r="J31" s="18"/>
      <c r="K31" s="18"/>
      <c r="L31" s="18"/>
      <c r="M31" s="18"/>
      <c r="N31" s="18"/>
      <c r="O31" s="18"/>
      <c r="P31" s="18"/>
      <c r="Q31" s="18"/>
      <c r="R31" s="18"/>
    </row>
    <row r="32" spans="1:18" x14ac:dyDescent="0.3">
      <c r="A32" s="18"/>
      <c r="B32" s="18"/>
      <c r="C32" s="18"/>
      <c r="D32" s="18"/>
      <c r="E32" s="18"/>
      <c r="F32" s="18"/>
      <c r="G32" s="18"/>
      <c r="H32" s="18"/>
      <c r="I32" s="18"/>
      <c r="J32" s="18"/>
      <c r="K32" s="18"/>
      <c r="L32" s="18"/>
      <c r="M32" s="18"/>
      <c r="N32" s="18"/>
      <c r="O32" s="18"/>
      <c r="P32" s="18"/>
      <c r="Q32" s="18"/>
      <c r="R32" s="18"/>
    </row>
    <row r="33" spans="1:18" x14ac:dyDescent="0.3">
      <c r="A33" s="18"/>
      <c r="B33" s="18"/>
      <c r="C33" s="18"/>
      <c r="D33" s="18"/>
      <c r="E33" s="18"/>
      <c r="F33" s="18"/>
      <c r="G33" s="18"/>
      <c r="H33" s="18"/>
      <c r="I33" s="18"/>
      <c r="J33" s="18"/>
      <c r="K33" s="18"/>
      <c r="L33" s="18"/>
      <c r="M33" s="18"/>
      <c r="N33" s="18"/>
      <c r="O33" s="18"/>
      <c r="P33" s="18"/>
      <c r="Q33" s="18"/>
      <c r="R33" s="18"/>
    </row>
    <row r="34" spans="1:18" x14ac:dyDescent="0.3">
      <c r="A34" s="18"/>
      <c r="B34" s="18"/>
      <c r="C34" s="18"/>
      <c r="D34" s="18"/>
      <c r="E34" s="18"/>
      <c r="F34" s="18"/>
      <c r="G34" s="18"/>
      <c r="H34" s="18"/>
      <c r="I34" s="18"/>
      <c r="J34" s="18"/>
      <c r="K34" s="18"/>
      <c r="L34" s="18"/>
      <c r="M34" s="18"/>
      <c r="N34" s="18"/>
      <c r="O34" s="18"/>
      <c r="P34" s="18"/>
      <c r="Q34" s="18"/>
      <c r="R34" s="18"/>
    </row>
    <row r="35" spans="1:18" x14ac:dyDescent="0.3">
      <c r="A35" s="18"/>
      <c r="B35" s="18"/>
      <c r="C35" s="18"/>
      <c r="D35" s="18"/>
      <c r="E35" s="18"/>
      <c r="F35" s="18"/>
      <c r="G35" s="18"/>
      <c r="H35" s="18"/>
      <c r="I35" s="18"/>
      <c r="J35" s="18"/>
      <c r="K35" s="18"/>
      <c r="L35" s="18"/>
      <c r="M35" s="18"/>
      <c r="N35" s="18"/>
      <c r="O35" s="18"/>
      <c r="P35" s="18"/>
      <c r="Q35" s="18"/>
      <c r="R35" s="18"/>
    </row>
    <row r="36" spans="1:18" x14ac:dyDescent="0.3">
      <c r="A36" s="18"/>
      <c r="B36" s="18"/>
      <c r="C36" s="18"/>
      <c r="D36" s="18"/>
      <c r="E36" s="18"/>
      <c r="F36" s="18"/>
      <c r="G36" s="18"/>
      <c r="H36" s="18"/>
      <c r="I36" s="18"/>
      <c r="J36" s="18"/>
      <c r="K36" s="18"/>
      <c r="L36" s="18"/>
      <c r="M36" s="18"/>
      <c r="N36" s="18"/>
      <c r="O36" s="18"/>
      <c r="P36" s="18"/>
      <c r="Q36" s="18"/>
      <c r="R36" s="18"/>
    </row>
    <row r="37" spans="1:18" x14ac:dyDescent="0.3">
      <c r="A37" s="18"/>
      <c r="B37" s="18"/>
      <c r="C37" s="18"/>
      <c r="D37" s="18"/>
      <c r="E37" s="18"/>
      <c r="F37" s="18"/>
      <c r="G37" s="18"/>
      <c r="H37" s="18"/>
      <c r="I37" s="18"/>
      <c r="J37" s="18"/>
      <c r="K37" s="18"/>
      <c r="L37" s="18"/>
      <c r="M37" s="18"/>
      <c r="N37" s="18"/>
      <c r="O37" s="18"/>
      <c r="P37" s="18"/>
      <c r="Q37" s="18"/>
      <c r="R37" s="18"/>
    </row>
    <row r="38" spans="1:18" x14ac:dyDescent="0.3">
      <c r="A38" s="18"/>
      <c r="B38" s="18"/>
      <c r="C38" s="18"/>
      <c r="D38" s="18"/>
      <c r="E38" s="18"/>
      <c r="F38" s="18"/>
      <c r="G38" s="18"/>
      <c r="H38" s="18"/>
      <c r="I38" s="18"/>
      <c r="J38" s="18"/>
      <c r="K38" s="18"/>
      <c r="L38" s="18"/>
      <c r="M38" s="18"/>
      <c r="N38" s="18"/>
      <c r="O38" s="18"/>
      <c r="P38" s="18"/>
      <c r="Q38" s="18"/>
      <c r="R38" s="18"/>
    </row>
    <row r="39" spans="1:18" x14ac:dyDescent="0.3">
      <c r="A39" s="18"/>
      <c r="B39" s="18"/>
      <c r="C39" s="18"/>
      <c r="D39" s="18"/>
      <c r="E39" s="18"/>
      <c r="F39" s="18"/>
      <c r="G39" s="18"/>
      <c r="H39" s="18"/>
      <c r="I39" s="18"/>
      <c r="J39" s="18"/>
      <c r="K39" s="18"/>
      <c r="L39" s="18"/>
      <c r="M39" s="18"/>
      <c r="N39" s="18"/>
      <c r="O39" s="18"/>
      <c r="P39" s="18"/>
      <c r="Q39" s="18"/>
      <c r="R39" s="18"/>
    </row>
    <row r="40" spans="1:18" x14ac:dyDescent="0.3">
      <c r="A40" s="18"/>
      <c r="B40" s="18"/>
      <c r="C40" s="18"/>
      <c r="D40" s="18"/>
      <c r="E40" s="18"/>
      <c r="F40" s="18"/>
      <c r="G40" s="18"/>
      <c r="H40" s="18"/>
      <c r="I40" s="18"/>
      <c r="J40" s="18"/>
      <c r="K40" s="18"/>
      <c r="L40" s="18"/>
      <c r="M40" s="18"/>
      <c r="N40" s="18"/>
      <c r="O40" s="18"/>
      <c r="P40" s="18"/>
      <c r="Q40" s="18"/>
      <c r="R40" s="18"/>
    </row>
    <row r="41" spans="1:18" x14ac:dyDescent="0.3">
      <c r="A41" s="18"/>
      <c r="B41" s="18"/>
      <c r="C41" s="18"/>
      <c r="D41" s="18"/>
      <c r="E41" s="18"/>
      <c r="F41" s="18"/>
      <c r="G41" s="18"/>
      <c r="H41" s="18"/>
      <c r="I41" s="18"/>
      <c r="J41" s="18"/>
      <c r="K41" s="18"/>
      <c r="L41" s="18"/>
      <c r="M41" s="18"/>
      <c r="N41" s="18"/>
      <c r="O41" s="18"/>
      <c r="P41" s="18"/>
      <c r="Q41" s="18"/>
      <c r="R41" s="18"/>
    </row>
    <row r="42" spans="1:18" x14ac:dyDescent="0.3">
      <c r="A42" s="18"/>
      <c r="B42" s="18"/>
      <c r="C42" s="18"/>
      <c r="D42" s="18"/>
      <c r="E42" s="18"/>
      <c r="F42" s="18"/>
      <c r="G42" s="18"/>
      <c r="H42" s="18"/>
      <c r="I42" s="18"/>
      <c r="J42" s="18"/>
      <c r="K42" s="18"/>
      <c r="L42" s="18"/>
      <c r="M42" s="18"/>
      <c r="N42" s="18"/>
      <c r="O42" s="18"/>
      <c r="P42" s="18"/>
      <c r="Q42" s="18"/>
      <c r="R42" s="18"/>
    </row>
    <row r="43" spans="1:18" x14ac:dyDescent="0.3">
      <c r="A43" s="18"/>
      <c r="B43" s="18"/>
      <c r="C43" s="18"/>
      <c r="D43" s="18"/>
      <c r="E43" s="18"/>
      <c r="F43" s="18"/>
      <c r="G43" s="18"/>
      <c r="H43" s="18"/>
      <c r="I43" s="18"/>
      <c r="J43" s="18"/>
      <c r="K43" s="18"/>
      <c r="L43" s="18"/>
      <c r="M43" s="18"/>
      <c r="N43" s="18"/>
      <c r="O43" s="18"/>
      <c r="P43" s="18"/>
      <c r="Q43" s="18"/>
      <c r="R43" s="18"/>
    </row>
    <row r="44" spans="1:18" x14ac:dyDescent="0.3">
      <c r="A44" s="18"/>
      <c r="B44" s="18"/>
      <c r="C44" s="18"/>
      <c r="D44" s="18"/>
      <c r="E44" s="18"/>
      <c r="F44" s="18"/>
      <c r="G44" s="18"/>
      <c r="H44" s="18"/>
      <c r="I44" s="18"/>
      <c r="J44" s="18"/>
      <c r="K44" s="18"/>
      <c r="L44" s="18"/>
      <c r="M44" s="18"/>
      <c r="N44" s="18"/>
      <c r="O44" s="18"/>
      <c r="P44" s="18"/>
      <c r="Q44" s="18"/>
      <c r="R44" s="18"/>
    </row>
    <row r="45" spans="1:18" x14ac:dyDescent="0.3">
      <c r="A45" s="18"/>
      <c r="B45" s="18"/>
      <c r="C45" s="18"/>
      <c r="D45" s="18"/>
      <c r="E45" s="18"/>
      <c r="F45" s="18"/>
      <c r="G45" s="18"/>
      <c r="H45" s="18"/>
      <c r="I45" s="18"/>
      <c r="J45" s="18"/>
      <c r="K45" s="18"/>
      <c r="L45" s="18"/>
      <c r="M45" s="18"/>
      <c r="N45" s="18"/>
      <c r="O45" s="18"/>
      <c r="P45" s="18"/>
      <c r="Q45" s="18"/>
      <c r="R45" s="18"/>
    </row>
    <row r="46" spans="1:18" x14ac:dyDescent="0.3">
      <c r="A46" s="18"/>
      <c r="B46" s="18"/>
      <c r="C46" s="18"/>
      <c r="D46" s="18"/>
      <c r="E46" s="18"/>
      <c r="F46" s="18"/>
      <c r="G46" s="18"/>
      <c r="H46" s="18"/>
      <c r="I46" s="18"/>
      <c r="J46" s="18"/>
      <c r="K46" s="18"/>
      <c r="L46" s="18"/>
      <c r="M46" s="18"/>
      <c r="N46" s="18"/>
      <c r="O46" s="18"/>
      <c r="P46" s="18"/>
      <c r="Q46" s="18"/>
      <c r="R46" s="18"/>
    </row>
    <row r="47" spans="1:18" x14ac:dyDescent="0.3">
      <c r="A47" s="18"/>
      <c r="B47" s="18"/>
      <c r="C47" s="18"/>
      <c r="D47" s="18"/>
      <c r="E47" s="18"/>
      <c r="F47" s="18"/>
      <c r="G47" s="18"/>
      <c r="H47" s="18"/>
      <c r="I47" s="18"/>
      <c r="J47" s="18"/>
      <c r="K47" s="18"/>
      <c r="L47" s="18"/>
      <c r="M47" s="18"/>
      <c r="N47" s="18"/>
      <c r="O47" s="18"/>
      <c r="P47" s="18"/>
      <c r="Q47" s="18"/>
      <c r="R47" s="18"/>
    </row>
  </sheetData>
  <printOptions horizontalCentered="1" verticalCentered="1"/>
  <pageMargins left="0.15748031496062992" right="0.15748031496062992" top="0.15748031496062992" bottom="0.15748031496062992" header="0.15748031496062992" footer="0.15748031496062992"/>
  <pageSetup scale="8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9B39-367B-464C-89EF-A42AC327AEA2}">
  <dimension ref="A1:I43"/>
  <sheetViews>
    <sheetView zoomScale="81" workbookViewId="0">
      <selection activeCell="K9" sqref="K9"/>
    </sheetView>
  </sheetViews>
  <sheetFormatPr defaultRowHeight="14.4" x14ac:dyDescent="0.3"/>
  <cols>
    <col min="1" max="1" width="13.109375" bestFit="1" customWidth="1"/>
    <col min="2" max="2" width="15.77734375" bestFit="1" customWidth="1"/>
    <col min="4" max="4" width="16.33203125" bestFit="1" customWidth="1"/>
    <col min="5" max="5" width="12.5546875" bestFit="1" customWidth="1"/>
    <col min="6" max="6" width="16.109375" bestFit="1" customWidth="1"/>
    <col min="8" max="8" width="13.109375" bestFit="1" customWidth="1"/>
    <col min="9" max="9" width="15.33203125" bestFit="1" customWidth="1"/>
  </cols>
  <sheetData>
    <row r="1" spans="1:9" x14ac:dyDescent="0.3">
      <c r="A1" s="2" t="s">
        <v>2039</v>
      </c>
      <c r="B1" t="s">
        <v>2038</v>
      </c>
      <c r="E1" s="2" t="s">
        <v>2039</v>
      </c>
      <c r="F1" t="s">
        <v>2038</v>
      </c>
      <c r="H1" s="2" t="s">
        <v>2039</v>
      </c>
      <c r="I1" t="s">
        <v>2050</v>
      </c>
    </row>
    <row r="2" spans="1:9" x14ac:dyDescent="0.3">
      <c r="A2" s="16" t="s">
        <v>17</v>
      </c>
      <c r="B2" s="19">
        <v>674</v>
      </c>
      <c r="E2" s="16" t="s">
        <v>17</v>
      </c>
      <c r="F2" s="4">
        <v>0.67400000000000004</v>
      </c>
      <c r="H2" s="16" t="s">
        <v>2048</v>
      </c>
      <c r="I2" s="19">
        <v>500</v>
      </c>
    </row>
    <row r="3" spans="1:9" x14ac:dyDescent="0.3">
      <c r="A3" s="16" t="s">
        <v>35</v>
      </c>
      <c r="B3" s="19">
        <v>326</v>
      </c>
      <c r="E3" s="16" t="s">
        <v>35</v>
      </c>
      <c r="F3" s="4">
        <v>0.32600000000000001</v>
      </c>
      <c r="H3" s="16" t="s">
        <v>2049</v>
      </c>
      <c r="I3" s="19">
        <v>500</v>
      </c>
    </row>
    <row r="4" spans="1:9" x14ac:dyDescent="0.3">
      <c r="A4" s="16" t="s">
        <v>2040</v>
      </c>
      <c r="B4" s="19">
        <v>1000</v>
      </c>
      <c r="E4" s="16" t="s">
        <v>2040</v>
      </c>
      <c r="F4" s="4">
        <v>1</v>
      </c>
      <c r="H4" s="16" t="s">
        <v>2040</v>
      </c>
      <c r="I4" s="19">
        <v>1000</v>
      </c>
    </row>
    <row r="8" spans="1:9" x14ac:dyDescent="0.3">
      <c r="A8" s="2" t="s">
        <v>2039</v>
      </c>
      <c r="B8" t="s">
        <v>2041</v>
      </c>
      <c r="E8" s="2" t="s">
        <v>2039</v>
      </c>
      <c r="F8" t="s">
        <v>2041</v>
      </c>
    </row>
    <row r="9" spans="1:9" x14ac:dyDescent="0.3">
      <c r="A9" s="16" t="s">
        <v>18</v>
      </c>
      <c r="B9" s="19">
        <v>530</v>
      </c>
      <c r="E9" s="16" t="s">
        <v>18</v>
      </c>
      <c r="F9" s="4">
        <v>0.53</v>
      </c>
    </row>
    <row r="10" spans="1:9" x14ac:dyDescent="0.3">
      <c r="A10" s="16" t="s">
        <v>36</v>
      </c>
      <c r="B10" s="19">
        <v>470</v>
      </c>
      <c r="E10" s="16" t="s">
        <v>36</v>
      </c>
      <c r="F10" s="4">
        <v>0.47</v>
      </c>
    </row>
    <row r="11" spans="1:9" x14ac:dyDescent="0.3">
      <c r="A11" s="16" t="s">
        <v>2040</v>
      </c>
      <c r="B11" s="19">
        <v>1000</v>
      </c>
      <c r="E11" s="16" t="s">
        <v>2040</v>
      </c>
      <c r="F11" s="4">
        <v>1</v>
      </c>
    </row>
    <row r="14" spans="1:9" x14ac:dyDescent="0.3">
      <c r="A14" s="2" t="s">
        <v>2039</v>
      </c>
      <c r="B14" t="s">
        <v>2042</v>
      </c>
      <c r="D14" s="2" t="s">
        <v>2039</v>
      </c>
      <c r="E14" t="s">
        <v>2044</v>
      </c>
    </row>
    <row r="15" spans="1:9" x14ac:dyDescent="0.3">
      <c r="A15" s="16" t="s">
        <v>40</v>
      </c>
      <c r="B15" s="19">
        <v>166</v>
      </c>
      <c r="D15" s="16" t="s">
        <v>27</v>
      </c>
      <c r="E15" s="19">
        <v>213</v>
      </c>
    </row>
    <row r="16" spans="1:9" x14ac:dyDescent="0.3">
      <c r="A16" s="16" t="s">
        <v>16</v>
      </c>
      <c r="B16" s="19">
        <v>132</v>
      </c>
      <c r="D16" s="16" t="s">
        <v>20</v>
      </c>
      <c r="E16" s="19">
        <v>204</v>
      </c>
    </row>
    <row r="17" spans="1:5" x14ac:dyDescent="0.3">
      <c r="A17" s="16" t="s">
        <v>43</v>
      </c>
      <c r="B17" s="19">
        <v>111</v>
      </c>
      <c r="D17" s="16" t="s">
        <v>21</v>
      </c>
      <c r="E17" s="19">
        <v>203</v>
      </c>
    </row>
    <row r="18" spans="1:5" x14ac:dyDescent="0.3">
      <c r="A18" s="16" t="s">
        <v>146</v>
      </c>
      <c r="B18" s="19">
        <v>108</v>
      </c>
      <c r="D18" s="16" t="s">
        <v>31</v>
      </c>
      <c r="E18" s="19">
        <v>192</v>
      </c>
    </row>
    <row r="19" spans="1:5" x14ac:dyDescent="0.3">
      <c r="A19" s="16" t="s">
        <v>66</v>
      </c>
      <c r="B19" s="19">
        <v>95</v>
      </c>
      <c r="D19" s="16" t="s">
        <v>26</v>
      </c>
      <c r="E19" s="19">
        <v>188</v>
      </c>
    </row>
    <row r="20" spans="1:5" x14ac:dyDescent="0.3">
      <c r="A20" s="16" t="s">
        <v>95</v>
      </c>
      <c r="B20" s="19">
        <v>92</v>
      </c>
      <c r="D20" s="16" t="s">
        <v>2040</v>
      </c>
      <c r="E20" s="19">
        <v>1000</v>
      </c>
    </row>
    <row r="21" spans="1:5" x14ac:dyDescent="0.3">
      <c r="A21" s="16" t="s">
        <v>53</v>
      </c>
      <c r="B21" s="19">
        <v>91</v>
      </c>
    </row>
    <row r="22" spans="1:5" x14ac:dyDescent="0.3">
      <c r="A22" s="16" t="s">
        <v>34</v>
      </c>
      <c r="B22" s="19">
        <v>90</v>
      </c>
    </row>
    <row r="23" spans="1:5" x14ac:dyDescent="0.3">
      <c r="A23" s="16" t="s">
        <v>30</v>
      </c>
      <c r="B23" s="19">
        <v>80</v>
      </c>
      <c r="D23" s="2" t="s">
        <v>2039</v>
      </c>
      <c r="E23" t="s">
        <v>2045</v>
      </c>
    </row>
    <row r="24" spans="1:5" x14ac:dyDescent="0.3">
      <c r="A24" s="16" t="s">
        <v>24</v>
      </c>
      <c r="B24" s="19">
        <v>35</v>
      </c>
      <c r="D24" s="16" t="s">
        <v>20</v>
      </c>
      <c r="E24" s="19">
        <v>1964781</v>
      </c>
    </row>
    <row r="25" spans="1:5" x14ac:dyDescent="0.3">
      <c r="A25" s="16" t="s">
        <v>2040</v>
      </c>
      <c r="B25" s="19">
        <v>1000</v>
      </c>
      <c r="D25" s="16" t="s">
        <v>21</v>
      </c>
      <c r="E25" s="19">
        <v>1941358</v>
      </c>
    </row>
    <row r="26" spans="1:5" x14ac:dyDescent="0.3">
      <c r="D26" s="16" t="s">
        <v>26</v>
      </c>
      <c r="E26" s="19">
        <v>1878121</v>
      </c>
    </row>
    <row r="27" spans="1:5" x14ac:dyDescent="0.3">
      <c r="D27" s="16" t="s">
        <v>27</v>
      </c>
      <c r="E27" s="19">
        <v>1797302</v>
      </c>
    </row>
    <row r="28" spans="1:5" x14ac:dyDescent="0.3">
      <c r="A28" s="2" t="s">
        <v>2039</v>
      </c>
      <c r="B28" t="s">
        <v>2043</v>
      </c>
      <c r="D28" s="16" t="s">
        <v>31</v>
      </c>
      <c r="E28" s="19">
        <v>1744676</v>
      </c>
    </row>
    <row r="29" spans="1:5" x14ac:dyDescent="0.3">
      <c r="A29" s="16" t="s">
        <v>25</v>
      </c>
      <c r="B29" s="19">
        <v>671</v>
      </c>
      <c r="D29" s="16" t="s">
        <v>2040</v>
      </c>
      <c r="E29" s="19">
        <v>9326238</v>
      </c>
    </row>
    <row r="30" spans="1:5" x14ac:dyDescent="0.3">
      <c r="A30" s="16" t="s">
        <v>19</v>
      </c>
      <c r="B30" s="19">
        <v>170</v>
      </c>
    </row>
    <row r="31" spans="1:5" x14ac:dyDescent="0.3">
      <c r="A31" s="16" t="s">
        <v>46</v>
      </c>
      <c r="B31" s="19">
        <v>159</v>
      </c>
    </row>
    <row r="32" spans="1:5" x14ac:dyDescent="0.3">
      <c r="A32" s="16" t="s">
        <v>2040</v>
      </c>
      <c r="B32" s="19">
        <v>1000</v>
      </c>
      <c r="D32" s="2" t="s">
        <v>2039</v>
      </c>
      <c r="E32" t="s">
        <v>2045</v>
      </c>
    </row>
    <row r="33" spans="1:5" x14ac:dyDescent="0.3">
      <c r="D33" s="16" t="s">
        <v>40</v>
      </c>
      <c r="E33" s="19">
        <v>1570859</v>
      </c>
    </row>
    <row r="34" spans="1:5" x14ac:dyDescent="0.3">
      <c r="D34" s="16" t="s">
        <v>16</v>
      </c>
      <c r="E34" s="19">
        <v>1371364</v>
      </c>
    </row>
    <row r="35" spans="1:5" x14ac:dyDescent="0.3">
      <c r="A35" s="2" t="s">
        <v>2039</v>
      </c>
      <c r="B35" t="s">
        <v>2044</v>
      </c>
      <c r="D35" s="16" t="s">
        <v>146</v>
      </c>
      <c r="E35" s="19">
        <v>1009969</v>
      </c>
    </row>
    <row r="36" spans="1:5" x14ac:dyDescent="0.3">
      <c r="A36" s="16" t="s">
        <v>27</v>
      </c>
      <c r="B36" s="19">
        <v>213</v>
      </c>
      <c r="D36" s="16" t="s">
        <v>66</v>
      </c>
      <c r="E36" s="19">
        <v>953198</v>
      </c>
    </row>
    <row r="37" spans="1:5" x14ac:dyDescent="0.3">
      <c r="A37" s="16" t="s">
        <v>20</v>
      </c>
      <c r="B37" s="19">
        <v>204</v>
      </c>
      <c r="D37" s="16" t="s">
        <v>43</v>
      </c>
      <c r="E37" s="19">
        <v>947425</v>
      </c>
    </row>
    <row r="38" spans="1:5" x14ac:dyDescent="0.3">
      <c r="A38" s="16" t="s">
        <v>21</v>
      </c>
      <c r="B38" s="19">
        <v>203</v>
      </c>
      <c r="D38" s="16" t="s">
        <v>53</v>
      </c>
      <c r="E38" s="19">
        <v>861686</v>
      </c>
    </row>
    <row r="39" spans="1:5" x14ac:dyDescent="0.3">
      <c r="A39" s="16" t="s">
        <v>31</v>
      </c>
      <c r="B39" s="19">
        <v>192</v>
      </c>
      <c r="D39" s="16" t="s">
        <v>34</v>
      </c>
      <c r="E39" s="19">
        <v>848561</v>
      </c>
    </row>
    <row r="40" spans="1:5" x14ac:dyDescent="0.3">
      <c r="A40" s="16" t="s">
        <v>26</v>
      </c>
      <c r="B40" s="19">
        <v>188</v>
      </c>
      <c r="D40" s="16" t="s">
        <v>95</v>
      </c>
      <c r="E40" s="19">
        <v>797470</v>
      </c>
    </row>
    <row r="41" spans="1:5" x14ac:dyDescent="0.3">
      <c r="A41" s="16" t="s">
        <v>2040</v>
      </c>
      <c r="B41" s="19">
        <v>1000</v>
      </c>
      <c r="D41" s="16" t="s">
        <v>30</v>
      </c>
      <c r="E41" s="19">
        <v>654860</v>
      </c>
    </row>
    <row r="42" spans="1:5" x14ac:dyDescent="0.3">
      <c r="D42" s="16" t="s">
        <v>24</v>
      </c>
      <c r="E42" s="19">
        <v>310846</v>
      </c>
    </row>
    <row r="43" spans="1:5" x14ac:dyDescent="0.3">
      <c r="D43" s="16" t="s">
        <v>2040</v>
      </c>
      <c r="E43" s="19">
        <v>9326238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ED09-F460-4EF8-B8CE-98F3F935B582}">
  <dimension ref="A1:S1001"/>
  <sheetViews>
    <sheetView rightToLeft="1" tabSelected="1" zoomScaleNormal="100" workbookViewId="0">
      <selection activeCell="S7" sqref="S7"/>
    </sheetView>
  </sheetViews>
  <sheetFormatPr defaultRowHeight="14.4" x14ac:dyDescent="0.3"/>
  <cols>
    <col min="4" max="4" width="12" customWidth="1"/>
    <col min="6" max="6" width="11.5546875" style="1" customWidth="1"/>
    <col min="7" max="7" width="16.6640625" customWidth="1"/>
    <col min="8" max="8" width="9.109375" customWidth="1"/>
    <col min="9" max="9" width="9" customWidth="1"/>
    <col min="11" max="11" width="13.6640625" customWidth="1"/>
    <col min="12" max="12" width="10.77734375" style="1" bestFit="1" customWidth="1"/>
    <col min="13" max="13" width="10" customWidth="1"/>
    <col min="14" max="14" width="9" bestFit="1" customWidth="1"/>
    <col min="15" max="15" width="14.77734375" customWidth="1"/>
    <col min="19" max="19" width="9" bestFit="1" customWidth="1"/>
  </cols>
  <sheetData>
    <row r="1" spans="1:19" x14ac:dyDescent="0.3">
      <c r="A1" s="12" t="s">
        <v>0</v>
      </c>
      <c r="B1" s="12" t="s">
        <v>1</v>
      </c>
      <c r="C1" s="12" t="s">
        <v>2</v>
      </c>
      <c r="D1" s="12" t="s">
        <v>3</v>
      </c>
      <c r="E1" s="12" t="s">
        <v>4</v>
      </c>
      <c r="F1" s="13" t="s">
        <v>5</v>
      </c>
      <c r="G1" s="12" t="s">
        <v>6</v>
      </c>
      <c r="H1" s="12" t="s">
        <v>7</v>
      </c>
      <c r="I1" s="12" t="s">
        <v>8</v>
      </c>
      <c r="J1" s="12" t="s">
        <v>9</v>
      </c>
      <c r="K1" s="12" t="s">
        <v>10</v>
      </c>
      <c r="L1" s="13" t="s">
        <v>11</v>
      </c>
      <c r="M1" s="12" t="s">
        <v>12</v>
      </c>
      <c r="N1" s="12" t="s">
        <v>13</v>
      </c>
      <c r="O1" s="12" t="s">
        <v>2037</v>
      </c>
      <c r="P1" s="12" t="s">
        <v>2046</v>
      </c>
    </row>
    <row r="2" spans="1:19" x14ac:dyDescent="0.3">
      <c r="A2" s="7">
        <v>52578</v>
      </c>
      <c r="B2" s="7" t="s">
        <v>14</v>
      </c>
      <c r="C2" s="7" t="s">
        <v>15</v>
      </c>
      <c r="D2" s="7" t="s">
        <v>16</v>
      </c>
      <c r="E2" s="7" t="s">
        <v>17</v>
      </c>
      <c r="F2" s="8">
        <v>30707</v>
      </c>
      <c r="G2" s="7">
        <f ca="1">YEARFRAC(F2,TODAY())</f>
        <v>42.280555555555559</v>
      </c>
      <c r="H2" s="7" t="s">
        <v>18</v>
      </c>
      <c r="I2" s="7" t="s">
        <v>19</v>
      </c>
      <c r="J2" s="7" t="s">
        <v>20</v>
      </c>
      <c r="K2" s="7" t="s">
        <v>21</v>
      </c>
      <c r="L2" s="8">
        <v>44724</v>
      </c>
      <c r="M2" s="7">
        <f ca="1">YEARFRAC(L2,TODAY())</f>
        <v>3.9027777777777777</v>
      </c>
      <c r="N2" s="7">
        <v>21194</v>
      </c>
      <c r="O2" s="7" t="str">
        <f>TEXT(L2,"mmm")</f>
        <v>يونيو</v>
      </c>
      <c r="P2" s="7" t="str">
        <f>IF(N2&gt;=S$10,"راتب طبيعي","راتب عالي")</f>
        <v>راتب طبيعي</v>
      </c>
    </row>
    <row r="3" spans="1:19" x14ac:dyDescent="0.3">
      <c r="A3" s="9">
        <v>50880</v>
      </c>
      <c r="B3" s="9" t="s">
        <v>22</v>
      </c>
      <c r="C3" s="9" t="s">
        <v>23</v>
      </c>
      <c r="D3" s="9" t="s">
        <v>24</v>
      </c>
      <c r="E3" s="9" t="s">
        <v>17</v>
      </c>
      <c r="F3" s="10">
        <v>33932</v>
      </c>
      <c r="G3" s="7">
        <f t="shared" ref="G3:G66" ca="1" si="0">YEARFRAC(F3,TODAY())</f>
        <v>33.452777777777776</v>
      </c>
      <c r="H3" s="9" t="s">
        <v>18</v>
      </c>
      <c r="I3" s="9" t="s">
        <v>25</v>
      </c>
      <c r="J3" s="9" t="s">
        <v>26</v>
      </c>
      <c r="K3" s="9" t="s">
        <v>27</v>
      </c>
      <c r="L3" s="10">
        <v>44725</v>
      </c>
      <c r="M3" s="9">
        <f t="shared" ref="M3:M66" ca="1" si="1">YEARFRAC(L3,TODAY())</f>
        <v>3.9</v>
      </c>
      <c r="N3" s="9">
        <v>5008</v>
      </c>
      <c r="O3" s="9" t="str">
        <f t="shared" ref="O3:O66" si="2">TEXT(L3,"mmm")</f>
        <v>يونيو</v>
      </c>
      <c r="P3" s="7" t="str">
        <f t="shared" ref="P3:P66" si="3">IF(N3&gt;=S$10,"راتب طبيعي","راتب عالي")</f>
        <v>راتب عالي</v>
      </c>
    </row>
    <row r="4" spans="1:19" x14ac:dyDescent="0.3">
      <c r="A4" s="7">
        <v>57337</v>
      </c>
      <c r="B4" s="7" t="s">
        <v>28</v>
      </c>
      <c r="C4" s="7" t="s">
        <v>29</v>
      </c>
      <c r="D4" s="7" t="s">
        <v>30</v>
      </c>
      <c r="E4" s="7" t="s">
        <v>17</v>
      </c>
      <c r="F4" s="8">
        <v>36808</v>
      </c>
      <c r="G4" s="7">
        <f t="shared" ca="1" si="0"/>
        <v>25.577777777777779</v>
      </c>
      <c r="H4" s="7" t="s">
        <v>18</v>
      </c>
      <c r="I4" s="7" t="s">
        <v>25</v>
      </c>
      <c r="J4" s="7" t="s">
        <v>31</v>
      </c>
      <c r="K4" s="7" t="s">
        <v>20</v>
      </c>
      <c r="L4" s="8">
        <v>44726</v>
      </c>
      <c r="M4" s="7">
        <f t="shared" ca="1" si="1"/>
        <v>3.8972222222222221</v>
      </c>
      <c r="N4" s="7">
        <v>3009</v>
      </c>
      <c r="O4" s="7" t="str">
        <f t="shared" si="2"/>
        <v>يونيو</v>
      </c>
      <c r="P4" s="7" t="str">
        <f t="shared" si="3"/>
        <v>راتب عالي</v>
      </c>
      <c r="S4">
        <f>STDEV(N:N)</f>
        <v>7188.7377509412463</v>
      </c>
    </row>
    <row r="5" spans="1:19" x14ac:dyDescent="0.3">
      <c r="A5" s="9">
        <v>55115</v>
      </c>
      <c r="B5" s="9" t="s">
        <v>32</v>
      </c>
      <c r="C5" s="9" t="s">
        <v>33</v>
      </c>
      <c r="D5" s="9" t="s">
        <v>34</v>
      </c>
      <c r="E5" s="9" t="s">
        <v>35</v>
      </c>
      <c r="F5" s="10">
        <v>35235</v>
      </c>
      <c r="G5" s="7">
        <f t="shared" ca="1" si="0"/>
        <v>29.883333333333333</v>
      </c>
      <c r="H5" s="9" t="s">
        <v>36</v>
      </c>
      <c r="I5" s="9" t="s">
        <v>25</v>
      </c>
      <c r="J5" s="9" t="s">
        <v>20</v>
      </c>
      <c r="K5" s="9" t="s">
        <v>37</v>
      </c>
      <c r="L5" s="10">
        <v>44727</v>
      </c>
      <c r="M5" s="9">
        <f t="shared" ca="1" si="1"/>
        <v>3.8944444444444444</v>
      </c>
      <c r="N5" s="9">
        <v>5313</v>
      </c>
      <c r="O5" s="9" t="str">
        <f t="shared" si="2"/>
        <v>يونيو</v>
      </c>
      <c r="P5" s="7" t="str">
        <f t="shared" si="3"/>
        <v>راتب عالي</v>
      </c>
    </row>
    <row r="6" spans="1:19" x14ac:dyDescent="0.3">
      <c r="A6" s="7">
        <v>59675</v>
      </c>
      <c r="B6" s="7" t="s">
        <v>38</v>
      </c>
      <c r="C6" s="7" t="s">
        <v>39</v>
      </c>
      <c r="D6" s="7" t="s">
        <v>40</v>
      </c>
      <c r="E6" s="7" t="s">
        <v>17</v>
      </c>
      <c r="F6" s="8">
        <v>34233</v>
      </c>
      <c r="G6" s="7">
        <f t="shared" ca="1" si="0"/>
        <v>32.62777777777778</v>
      </c>
      <c r="H6" s="7" t="s">
        <v>18</v>
      </c>
      <c r="I6" s="7" t="s">
        <v>25</v>
      </c>
      <c r="J6" s="7" t="s">
        <v>31</v>
      </c>
      <c r="K6" s="7" t="s">
        <v>21</v>
      </c>
      <c r="L6" s="8">
        <v>44728</v>
      </c>
      <c r="M6" s="7">
        <f t="shared" ca="1" si="1"/>
        <v>3.8916666666666666</v>
      </c>
      <c r="N6" s="7">
        <v>6194</v>
      </c>
      <c r="O6" s="7" t="str">
        <f t="shared" si="2"/>
        <v>يونيو</v>
      </c>
      <c r="P6" s="7" t="str">
        <f t="shared" si="3"/>
        <v>راتب طبيعي</v>
      </c>
      <c r="S6">
        <f>AVERAGE(N:N)</f>
        <v>9326.2379999999994</v>
      </c>
    </row>
    <row r="7" spans="1:19" x14ac:dyDescent="0.3">
      <c r="A7" s="9">
        <v>52325</v>
      </c>
      <c r="B7" s="9" t="s">
        <v>41</v>
      </c>
      <c r="C7" s="9" t="s">
        <v>42</v>
      </c>
      <c r="D7" s="9" t="s">
        <v>43</v>
      </c>
      <c r="E7" s="9" t="s">
        <v>17</v>
      </c>
      <c r="F7" s="10">
        <v>31376</v>
      </c>
      <c r="G7" s="7">
        <f t="shared" ca="1" si="0"/>
        <v>40.450000000000003</v>
      </c>
      <c r="H7" s="9" t="s">
        <v>36</v>
      </c>
      <c r="I7" s="9" t="s">
        <v>25</v>
      </c>
      <c r="J7" s="9" t="s">
        <v>26</v>
      </c>
      <c r="K7" s="9" t="s">
        <v>20</v>
      </c>
      <c r="L7" s="10">
        <v>44729</v>
      </c>
      <c r="M7" s="9">
        <f t="shared" ca="1" si="1"/>
        <v>3.8888888888888888</v>
      </c>
      <c r="N7" s="9">
        <v>4027</v>
      </c>
      <c r="O7" s="9" t="str">
        <f t="shared" si="2"/>
        <v>يونيو</v>
      </c>
      <c r="P7" s="7" t="str">
        <f t="shared" si="3"/>
        <v>راتب عالي</v>
      </c>
      <c r="S7" t="s">
        <v>2047</v>
      </c>
    </row>
    <row r="8" spans="1:19" x14ac:dyDescent="0.3">
      <c r="A8" s="7">
        <v>57592</v>
      </c>
      <c r="B8" s="7" t="s">
        <v>44</v>
      </c>
      <c r="C8" s="7" t="s">
        <v>45</v>
      </c>
      <c r="D8" s="7" t="s">
        <v>16</v>
      </c>
      <c r="E8" s="7" t="s">
        <v>35</v>
      </c>
      <c r="F8" s="8">
        <v>30535</v>
      </c>
      <c r="G8" s="7">
        <f t="shared" ca="1" si="0"/>
        <v>42.75</v>
      </c>
      <c r="H8" s="7" t="s">
        <v>18</v>
      </c>
      <c r="I8" s="7" t="s">
        <v>46</v>
      </c>
      <c r="J8" s="7" t="s">
        <v>31</v>
      </c>
      <c r="K8" s="7" t="s">
        <v>27</v>
      </c>
      <c r="L8" s="8">
        <v>44730</v>
      </c>
      <c r="M8" s="7">
        <f t="shared" ca="1" si="1"/>
        <v>3.8861111111111111</v>
      </c>
      <c r="N8" s="7">
        <v>12074</v>
      </c>
      <c r="O8" s="7" t="str">
        <f t="shared" si="2"/>
        <v>يونيو</v>
      </c>
      <c r="P8" s="7" t="str">
        <f t="shared" si="3"/>
        <v>راتب طبيعي</v>
      </c>
      <c r="S8" s="14">
        <f>S4/S6</f>
        <v>0.770807881049277</v>
      </c>
    </row>
    <row r="9" spans="1:19" x14ac:dyDescent="0.3">
      <c r="A9" s="9">
        <v>55955</v>
      </c>
      <c r="B9" s="9" t="s">
        <v>47</v>
      </c>
      <c r="C9" s="9" t="s">
        <v>48</v>
      </c>
      <c r="D9" s="9" t="s">
        <v>30</v>
      </c>
      <c r="E9" s="9" t="s">
        <v>17</v>
      </c>
      <c r="F9" s="10">
        <v>32573</v>
      </c>
      <c r="G9" s="7">
        <f t="shared" ca="1" si="0"/>
        <v>37.169444444444444</v>
      </c>
      <c r="H9" s="9" t="s">
        <v>36</v>
      </c>
      <c r="I9" s="9" t="s">
        <v>46</v>
      </c>
      <c r="J9" s="9" t="s">
        <v>21</v>
      </c>
      <c r="K9" s="9" t="s">
        <v>21</v>
      </c>
      <c r="L9" s="10">
        <v>44731</v>
      </c>
      <c r="M9" s="9">
        <f t="shared" ca="1" si="1"/>
        <v>3.8833333333333333</v>
      </c>
      <c r="N9" s="9">
        <v>10027</v>
      </c>
      <c r="O9" s="9" t="str">
        <f t="shared" si="2"/>
        <v>يونيو</v>
      </c>
      <c r="P9" s="7" t="str">
        <f t="shared" si="3"/>
        <v>راتب طبيعي</v>
      </c>
    </row>
    <row r="10" spans="1:19" x14ac:dyDescent="0.3">
      <c r="A10" s="7">
        <v>50042</v>
      </c>
      <c r="B10" s="7" t="s">
        <v>49</v>
      </c>
      <c r="C10" s="7" t="s">
        <v>50</v>
      </c>
      <c r="D10" s="7" t="s">
        <v>16</v>
      </c>
      <c r="E10" s="7" t="s">
        <v>35</v>
      </c>
      <c r="F10" s="8">
        <v>32367</v>
      </c>
      <c r="G10" s="7">
        <f t="shared" ca="1" si="0"/>
        <v>37.736111111111114</v>
      </c>
      <c r="H10" s="7" t="s">
        <v>36</v>
      </c>
      <c r="I10" s="7" t="s">
        <v>25</v>
      </c>
      <c r="J10" s="7" t="s">
        <v>26</v>
      </c>
      <c r="K10" s="7" t="s">
        <v>21</v>
      </c>
      <c r="L10" s="8">
        <v>44732</v>
      </c>
      <c r="M10" s="7">
        <f t="shared" ca="1" si="1"/>
        <v>3.8805555555555555</v>
      </c>
      <c r="N10" s="7">
        <v>6858</v>
      </c>
      <c r="O10" s="7" t="str">
        <f t="shared" si="2"/>
        <v>يونيو</v>
      </c>
      <c r="P10" s="7" t="str">
        <f t="shared" si="3"/>
        <v>راتب طبيعي</v>
      </c>
      <c r="S10" s="15">
        <f>MEDIAN(N:N)</f>
        <v>5959.5</v>
      </c>
    </row>
    <row r="11" spans="1:19" x14ac:dyDescent="0.3">
      <c r="A11" s="9">
        <v>57941</v>
      </c>
      <c r="B11" s="9" t="s">
        <v>51</v>
      </c>
      <c r="C11" s="9" t="s">
        <v>52</v>
      </c>
      <c r="D11" s="9" t="s">
        <v>53</v>
      </c>
      <c r="E11" s="9" t="s">
        <v>17</v>
      </c>
      <c r="F11" s="10">
        <v>37686</v>
      </c>
      <c r="G11" s="7">
        <f t="shared" ca="1" si="0"/>
        <v>23.169444444444444</v>
      </c>
      <c r="H11" s="9" t="s">
        <v>36</v>
      </c>
      <c r="I11" s="9" t="s">
        <v>25</v>
      </c>
      <c r="J11" s="9" t="s">
        <v>21</v>
      </c>
      <c r="K11" s="9" t="s">
        <v>21</v>
      </c>
      <c r="L11" s="10">
        <v>44733</v>
      </c>
      <c r="M11" s="9">
        <f t="shared" ca="1" si="1"/>
        <v>3.8777777777777778</v>
      </c>
      <c r="N11" s="9">
        <v>4444</v>
      </c>
      <c r="O11" s="9" t="str">
        <f t="shared" si="2"/>
        <v>يونيو</v>
      </c>
      <c r="P11" s="7" t="str">
        <f t="shared" si="3"/>
        <v>راتب عالي</v>
      </c>
    </row>
    <row r="12" spans="1:19" x14ac:dyDescent="0.3">
      <c r="A12" s="7">
        <v>54639</v>
      </c>
      <c r="B12" s="7" t="s">
        <v>54</v>
      </c>
      <c r="C12" s="7" t="s">
        <v>55</v>
      </c>
      <c r="D12" s="7" t="s">
        <v>53</v>
      </c>
      <c r="E12" s="7" t="s">
        <v>35</v>
      </c>
      <c r="F12" s="8">
        <v>30006</v>
      </c>
      <c r="G12" s="7">
        <f t="shared" ca="1" si="0"/>
        <v>44.202777777777776</v>
      </c>
      <c r="H12" s="7" t="s">
        <v>36</v>
      </c>
      <c r="I12" s="7" t="s">
        <v>19</v>
      </c>
      <c r="J12" s="7" t="s">
        <v>26</v>
      </c>
      <c r="K12" s="7" t="s">
        <v>21</v>
      </c>
      <c r="L12" s="8">
        <v>44734</v>
      </c>
      <c r="M12" s="7">
        <f t="shared" ca="1" si="1"/>
        <v>3.875</v>
      </c>
      <c r="N12" s="7">
        <v>29222</v>
      </c>
      <c r="O12" s="7" t="str">
        <f t="shared" si="2"/>
        <v>يونيو</v>
      </c>
      <c r="P12" s="7" t="str">
        <f t="shared" si="3"/>
        <v>راتب طبيعي</v>
      </c>
    </row>
    <row r="13" spans="1:19" x14ac:dyDescent="0.3">
      <c r="A13" s="9">
        <v>55504</v>
      </c>
      <c r="B13" s="9" t="s">
        <v>56</v>
      </c>
      <c r="C13" s="9" t="s">
        <v>57</v>
      </c>
      <c r="D13" s="9" t="s">
        <v>30</v>
      </c>
      <c r="E13" s="9" t="s">
        <v>35</v>
      </c>
      <c r="F13" s="10">
        <v>37744</v>
      </c>
      <c r="G13" s="7">
        <f t="shared" ca="1" si="0"/>
        <v>23.011111111111113</v>
      </c>
      <c r="H13" s="9" t="s">
        <v>18</v>
      </c>
      <c r="I13" s="9" t="s">
        <v>46</v>
      </c>
      <c r="J13" s="9" t="s">
        <v>31</v>
      </c>
      <c r="K13" s="9" t="s">
        <v>21</v>
      </c>
      <c r="L13" s="10">
        <v>44735</v>
      </c>
      <c r="M13" s="9">
        <f t="shared" ca="1" si="1"/>
        <v>3.8722222222222222</v>
      </c>
      <c r="N13" s="9">
        <v>12169</v>
      </c>
      <c r="O13" s="9" t="str">
        <f t="shared" si="2"/>
        <v>يونيو</v>
      </c>
      <c r="P13" s="7" t="str">
        <f t="shared" si="3"/>
        <v>راتب طبيعي</v>
      </c>
    </row>
    <row r="14" spans="1:19" x14ac:dyDescent="0.3">
      <c r="A14" s="7">
        <v>52518</v>
      </c>
      <c r="B14" s="7" t="s">
        <v>58</v>
      </c>
      <c r="C14" s="7" t="s">
        <v>59</v>
      </c>
      <c r="D14" s="7" t="s">
        <v>16</v>
      </c>
      <c r="E14" s="7" t="s">
        <v>35</v>
      </c>
      <c r="F14" s="8">
        <v>31753</v>
      </c>
      <c r="G14" s="7">
        <f t="shared" ca="1" si="0"/>
        <v>39.416666666666664</v>
      </c>
      <c r="H14" s="7" t="s">
        <v>18</v>
      </c>
      <c r="I14" s="7" t="s">
        <v>46</v>
      </c>
      <c r="J14" s="7" t="s">
        <v>20</v>
      </c>
      <c r="K14" s="7" t="s">
        <v>21</v>
      </c>
      <c r="L14" s="8">
        <v>44736</v>
      </c>
      <c r="M14" s="7">
        <f t="shared" ca="1" si="1"/>
        <v>3.8694444444444445</v>
      </c>
      <c r="N14" s="7">
        <v>14015</v>
      </c>
      <c r="O14" s="7" t="str">
        <f t="shared" si="2"/>
        <v>يونيو</v>
      </c>
      <c r="P14" s="7" t="str">
        <f t="shared" si="3"/>
        <v>راتب طبيعي</v>
      </c>
    </row>
    <row r="15" spans="1:19" x14ac:dyDescent="0.3">
      <c r="A15" s="9">
        <v>54193</v>
      </c>
      <c r="B15" s="9" t="s">
        <v>60</v>
      </c>
      <c r="C15" s="9" t="s">
        <v>61</v>
      </c>
      <c r="D15" s="9" t="s">
        <v>16</v>
      </c>
      <c r="E15" s="9" t="s">
        <v>17</v>
      </c>
      <c r="F15" s="10">
        <v>34040</v>
      </c>
      <c r="G15" s="7">
        <f t="shared" ca="1" si="0"/>
        <v>33.152777777777779</v>
      </c>
      <c r="H15" s="9" t="s">
        <v>36</v>
      </c>
      <c r="I15" s="9" t="s">
        <v>25</v>
      </c>
      <c r="J15" s="9" t="s">
        <v>21</v>
      </c>
      <c r="K15" s="9" t="s">
        <v>21</v>
      </c>
      <c r="L15" s="10">
        <v>44737</v>
      </c>
      <c r="M15" s="9">
        <f t="shared" ca="1" si="1"/>
        <v>3.8666666666666667</v>
      </c>
      <c r="N15" s="9">
        <v>5951</v>
      </c>
      <c r="O15" s="9" t="str">
        <f t="shared" si="2"/>
        <v>يونيو</v>
      </c>
      <c r="P15" s="7" t="str">
        <f t="shared" si="3"/>
        <v>راتب عالي</v>
      </c>
    </row>
    <row r="16" spans="1:19" x14ac:dyDescent="0.3">
      <c r="A16" s="7">
        <v>50028</v>
      </c>
      <c r="B16" s="7" t="s">
        <v>62</v>
      </c>
      <c r="C16" s="7" t="s">
        <v>63</v>
      </c>
      <c r="D16" s="7" t="s">
        <v>16</v>
      </c>
      <c r="E16" s="7" t="s">
        <v>35</v>
      </c>
      <c r="F16" s="8">
        <v>33917</v>
      </c>
      <c r="G16" s="7">
        <f t="shared" ca="1" si="0"/>
        <v>33.494444444444447</v>
      </c>
      <c r="H16" s="7" t="s">
        <v>18</v>
      </c>
      <c r="I16" s="7" t="s">
        <v>25</v>
      </c>
      <c r="J16" s="7" t="s">
        <v>26</v>
      </c>
      <c r="K16" s="7" t="s">
        <v>21</v>
      </c>
      <c r="L16" s="8">
        <v>44738</v>
      </c>
      <c r="M16" s="7">
        <f t="shared" ca="1" si="1"/>
        <v>3.8638888888888889</v>
      </c>
      <c r="N16" s="7">
        <v>3673</v>
      </c>
      <c r="O16" s="7" t="str">
        <f t="shared" si="2"/>
        <v>يونيو</v>
      </c>
      <c r="P16" s="7" t="str">
        <f t="shared" si="3"/>
        <v>راتب عالي</v>
      </c>
    </row>
    <row r="17" spans="1:16" x14ac:dyDescent="0.3">
      <c r="A17" s="9">
        <v>53437</v>
      </c>
      <c r="B17" s="9" t="s">
        <v>64</v>
      </c>
      <c r="C17" s="9" t="s">
        <v>65</v>
      </c>
      <c r="D17" s="9" t="s">
        <v>66</v>
      </c>
      <c r="E17" s="9" t="s">
        <v>35</v>
      </c>
      <c r="F17" s="10">
        <v>33682</v>
      </c>
      <c r="G17" s="7">
        <f t="shared" ca="1" si="0"/>
        <v>34.133333333333333</v>
      </c>
      <c r="H17" s="9" t="s">
        <v>18</v>
      </c>
      <c r="I17" s="9" t="s">
        <v>25</v>
      </c>
      <c r="J17" s="9" t="s">
        <v>20</v>
      </c>
      <c r="K17" s="9" t="s">
        <v>21</v>
      </c>
      <c r="L17" s="10">
        <v>44739</v>
      </c>
      <c r="M17" s="9">
        <f t="shared" ca="1" si="1"/>
        <v>3.8611111111111112</v>
      </c>
      <c r="N17" s="9">
        <v>4265</v>
      </c>
      <c r="O17" s="9" t="str">
        <f t="shared" si="2"/>
        <v>يونيو</v>
      </c>
      <c r="P17" s="7" t="str">
        <f t="shared" si="3"/>
        <v>راتب عالي</v>
      </c>
    </row>
    <row r="18" spans="1:16" x14ac:dyDescent="0.3">
      <c r="A18" s="7">
        <v>59081</v>
      </c>
      <c r="B18" s="7" t="s">
        <v>67</v>
      </c>
      <c r="C18" s="7" t="s">
        <v>68</v>
      </c>
      <c r="D18" s="7" t="s">
        <v>40</v>
      </c>
      <c r="E18" s="7" t="s">
        <v>17</v>
      </c>
      <c r="F18" s="8">
        <v>37204</v>
      </c>
      <c r="G18" s="7">
        <f t="shared" ca="1" si="0"/>
        <v>24.494444444444444</v>
      </c>
      <c r="H18" s="7" t="s">
        <v>18</v>
      </c>
      <c r="I18" s="7" t="s">
        <v>19</v>
      </c>
      <c r="J18" s="7" t="s">
        <v>20</v>
      </c>
      <c r="K18" s="7" t="s">
        <v>21</v>
      </c>
      <c r="L18" s="8">
        <v>44740</v>
      </c>
      <c r="M18" s="7">
        <f t="shared" ca="1" si="1"/>
        <v>3.8583333333333334</v>
      </c>
      <c r="N18" s="7">
        <v>24474</v>
      </c>
      <c r="O18" s="7" t="str">
        <f t="shared" si="2"/>
        <v>يونيو</v>
      </c>
      <c r="P18" s="7" t="str">
        <f t="shared" si="3"/>
        <v>راتب طبيعي</v>
      </c>
    </row>
    <row r="19" spans="1:16" x14ac:dyDescent="0.3">
      <c r="A19" s="9">
        <v>50162</v>
      </c>
      <c r="B19" s="9" t="s">
        <v>69</v>
      </c>
      <c r="C19" s="9" t="s">
        <v>70</v>
      </c>
      <c r="D19" s="9" t="s">
        <v>16</v>
      </c>
      <c r="E19" s="9" t="s">
        <v>17</v>
      </c>
      <c r="F19" s="10">
        <v>32705</v>
      </c>
      <c r="G19" s="7">
        <f t="shared" ca="1" si="0"/>
        <v>36.80833333333333</v>
      </c>
      <c r="H19" s="9" t="s">
        <v>36</v>
      </c>
      <c r="I19" s="9" t="s">
        <v>25</v>
      </c>
      <c r="J19" s="9" t="s">
        <v>27</v>
      </c>
      <c r="K19" s="9" t="s">
        <v>21</v>
      </c>
      <c r="L19" s="10">
        <v>44741</v>
      </c>
      <c r="M19" s="9">
        <f t="shared" ca="1" si="1"/>
        <v>3.8555555555555556</v>
      </c>
      <c r="N19" s="9">
        <v>4561</v>
      </c>
      <c r="O19" s="9" t="str">
        <f t="shared" si="2"/>
        <v>يونيو</v>
      </c>
      <c r="P19" s="7" t="str">
        <f t="shared" si="3"/>
        <v>راتب عالي</v>
      </c>
    </row>
    <row r="20" spans="1:16" x14ac:dyDescent="0.3">
      <c r="A20" s="7">
        <v>52806</v>
      </c>
      <c r="B20" s="7" t="s">
        <v>71</v>
      </c>
      <c r="C20" s="7" t="s">
        <v>72</v>
      </c>
      <c r="D20" s="7" t="s">
        <v>43</v>
      </c>
      <c r="E20" s="7" t="s">
        <v>17</v>
      </c>
      <c r="F20" s="8">
        <v>31436</v>
      </c>
      <c r="G20" s="7">
        <f t="shared" ca="1" si="0"/>
        <v>40.286111111111111</v>
      </c>
      <c r="H20" s="7" t="s">
        <v>18</v>
      </c>
      <c r="I20" s="7" t="s">
        <v>19</v>
      </c>
      <c r="J20" s="7" t="s">
        <v>20</v>
      </c>
      <c r="K20" s="7" t="s">
        <v>21</v>
      </c>
      <c r="L20" s="8">
        <v>44742</v>
      </c>
      <c r="M20" s="7">
        <f t="shared" ca="1" si="1"/>
        <v>3.8527777777777779</v>
      </c>
      <c r="N20" s="7">
        <v>22799</v>
      </c>
      <c r="O20" s="7" t="str">
        <f t="shared" si="2"/>
        <v>يونيو</v>
      </c>
      <c r="P20" s="7" t="str">
        <f t="shared" si="3"/>
        <v>راتب طبيعي</v>
      </c>
    </row>
    <row r="21" spans="1:16" x14ac:dyDescent="0.3">
      <c r="A21" s="9">
        <v>58595</v>
      </c>
      <c r="B21" s="9" t="s">
        <v>73</v>
      </c>
      <c r="C21" s="9" t="s">
        <v>74</v>
      </c>
      <c r="D21" s="9" t="s">
        <v>66</v>
      </c>
      <c r="E21" s="9" t="s">
        <v>17</v>
      </c>
      <c r="F21" s="10">
        <v>33748</v>
      </c>
      <c r="G21" s="7">
        <f t="shared" ca="1" si="0"/>
        <v>33.952777777777776</v>
      </c>
      <c r="H21" s="9" t="s">
        <v>18</v>
      </c>
      <c r="I21" s="9" t="s">
        <v>46</v>
      </c>
      <c r="J21" s="9" t="s">
        <v>31</v>
      </c>
      <c r="K21" s="9" t="s">
        <v>21</v>
      </c>
      <c r="L21" s="10">
        <v>44743</v>
      </c>
      <c r="M21" s="9">
        <f t="shared" ca="1" si="1"/>
        <v>3.85</v>
      </c>
      <c r="N21" s="9">
        <v>11896</v>
      </c>
      <c r="O21" s="9" t="str">
        <f t="shared" si="2"/>
        <v>يوليو</v>
      </c>
      <c r="P21" s="7" t="str">
        <f t="shared" si="3"/>
        <v>راتب طبيعي</v>
      </c>
    </row>
    <row r="22" spans="1:16" x14ac:dyDescent="0.3">
      <c r="A22" s="7">
        <v>50801</v>
      </c>
      <c r="B22" s="7" t="s">
        <v>75</v>
      </c>
      <c r="C22" s="7" t="s">
        <v>76</v>
      </c>
      <c r="D22" s="7" t="s">
        <v>53</v>
      </c>
      <c r="E22" s="7" t="s">
        <v>17</v>
      </c>
      <c r="F22" s="8">
        <v>37628</v>
      </c>
      <c r="G22" s="7">
        <f t="shared" ca="1" si="0"/>
        <v>23.333333333333332</v>
      </c>
      <c r="H22" s="7" t="s">
        <v>18</v>
      </c>
      <c r="I22" s="7" t="s">
        <v>25</v>
      </c>
      <c r="J22" s="7" t="s">
        <v>27</v>
      </c>
      <c r="K22" s="7" t="s">
        <v>21</v>
      </c>
      <c r="L22" s="8">
        <v>44744</v>
      </c>
      <c r="M22" s="7">
        <f t="shared" ca="1" si="1"/>
        <v>3.8472222222222223</v>
      </c>
      <c r="N22" s="7">
        <v>3906</v>
      </c>
      <c r="O22" s="7" t="str">
        <f t="shared" si="2"/>
        <v>يوليو</v>
      </c>
      <c r="P22" s="7" t="str">
        <f t="shared" si="3"/>
        <v>راتب عالي</v>
      </c>
    </row>
    <row r="23" spans="1:16" x14ac:dyDescent="0.3">
      <c r="A23" s="9">
        <v>51831</v>
      </c>
      <c r="B23" s="9" t="s">
        <v>77</v>
      </c>
      <c r="C23" s="9" t="s">
        <v>78</v>
      </c>
      <c r="D23" s="9" t="s">
        <v>66</v>
      </c>
      <c r="E23" s="9" t="s">
        <v>17</v>
      </c>
      <c r="F23" s="10">
        <v>37675</v>
      </c>
      <c r="G23" s="7">
        <f t="shared" ca="1" si="0"/>
        <v>23.205555555555556</v>
      </c>
      <c r="H23" s="9" t="s">
        <v>36</v>
      </c>
      <c r="I23" s="9" t="s">
        <v>25</v>
      </c>
      <c r="J23" s="9" t="s">
        <v>20</v>
      </c>
      <c r="K23" s="9" t="s">
        <v>27</v>
      </c>
      <c r="L23" s="10">
        <v>44745</v>
      </c>
      <c r="M23" s="9">
        <f t="shared" ca="1" si="1"/>
        <v>3.8444444444444446</v>
      </c>
      <c r="N23" s="9">
        <v>3772</v>
      </c>
      <c r="O23" s="9" t="str">
        <f t="shared" si="2"/>
        <v>يوليو</v>
      </c>
      <c r="P23" s="7" t="str">
        <f t="shared" si="3"/>
        <v>راتب عالي</v>
      </c>
    </row>
    <row r="24" spans="1:16" x14ac:dyDescent="0.3">
      <c r="A24" s="7">
        <v>59021</v>
      </c>
      <c r="B24" s="7" t="s">
        <v>79</v>
      </c>
      <c r="C24" s="7" t="s">
        <v>80</v>
      </c>
      <c r="D24" s="7" t="s">
        <v>66</v>
      </c>
      <c r="E24" s="7" t="s">
        <v>17</v>
      </c>
      <c r="F24" s="8">
        <v>37798</v>
      </c>
      <c r="G24" s="7">
        <f t="shared" ca="1" si="0"/>
        <v>22.863888888888887</v>
      </c>
      <c r="H24" s="7" t="s">
        <v>36</v>
      </c>
      <c r="I24" s="7" t="s">
        <v>25</v>
      </c>
      <c r="J24" s="7" t="s">
        <v>21</v>
      </c>
      <c r="K24" s="7" t="s">
        <v>31</v>
      </c>
      <c r="L24" s="8">
        <v>44746</v>
      </c>
      <c r="M24" s="7">
        <f t="shared" ca="1" si="1"/>
        <v>3.8416666666666668</v>
      </c>
      <c r="N24" s="7">
        <v>4089</v>
      </c>
      <c r="O24" s="7" t="str">
        <f t="shared" si="2"/>
        <v>يوليو</v>
      </c>
      <c r="P24" s="7" t="str">
        <f t="shared" si="3"/>
        <v>راتب عالي</v>
      </c>
    </row>
    <row r="25" spans="1:16" x14ac:dyDescent="0.3">
      <c r="A25" s="9">
        <v>53625</v>
      </c>
      <c r="B25" s="9" t="s">
        <v>81</v>
      </c>
      <c r="C25" s="9" t="s">
        <v>82</v>
      </c>
      <c r="D25" s="9" t="s">
        <v>16</v>
      </c>
      <c r="E25" s="9" t="s">
        <v>17</v>
      </c>
      <c r="F25" s="10">
        <v>37640</v>
      </c>
      <c r="G25" s="7">
        <f t="shared" ca="1" si="0"/>
        <v>23.3</v>
      </c>
      <c r="H25" s="9" t="s">
        <v>18</v>
      </c>
      <c r="I25" s="9" t="s">
        <v>46</v>
      </c>
      <c r="J25" s="9" t="s">
        <v>20</v>
      </c>
      <c r="K25" s="9" t="s">
        <v>31</v>
      </c>
      <c r="L25" s="10">
        <v>44747</v>
      </c>
      <c r="M25" s="9">
        <f t="shared" ca="1" si="1"/>
        <v>3.838888888888889</v>
      </c>
      <c r="N25" s="9">
        <v>13991</v>
      </c>
      <c r="O25" s="9" t="str">
        <f t="shared" si="2"/>
        <v>يوليو</v>
      </c>
      <c r="P25" s="7" t="str">
        <f t="shared" si="3"/>
        <v>راتب طبيعي</v>
      </c>
    </row>
    <row r="26" spans="1:16" x14ac:dyDescent="0.3">
      <c r="A26" s="7">
        <v>53141</v>
      </c>
      <c r="B26" s="7" t="s">
        <v>83</v>
      </c>
      <c r="C26" s="7" t="s">
        <v>84</v>
      </c>
      <c r="D26" s="7" t="s">
        <v>66</v>
      </c>
      <c r="E26" s="7" t="s">
        <v>17</v>
      </c>
      <c r="F26" s="8">
        <v>37790</v>
      </c>
      <c r="G26" s="7">
        <f t="shared" ca="1" si="0"/>
        <v>22.886111111111113</v>
      </c>
      <c r="H26" s="7" t="s">
        <v>18</v>
      </c>
      <c r="I26" s="7" t="s">
        <v>19</v>
      </c>
      <c r="J26" s="7" t="s">
        <v>26</v>
      </c>
      <c r="K26" s="7" t="s">
        <v>27</v>
      </c>
      <c r="L26" s="8">
        <v>44748</v>
      </c>
      <c r="M26" s="7">
        <f t="shared" ca="1" si="1"/>
        <v>3.8361111111111112</v>
      </c>
      <c r="N26" s="7">
        <v>25771</v>
      </c>
      <c r="O26" s="7" t="str">
        <f t="shared" si="2"/>
        <v>يوليو</v>
      </c>
      <c r="P26" s="7" t="str">
        <f t="shared" si="3"/>
        <v>راتب طبيعي</v>
      </c>
    </row>
    <row r="27" spans="1:16" x14ac:dyDescent="0.3">
      <c r="A27" s="9">
        <v>59969</v>
      </c>
      <c r="B27" s="9" t="s">
        <v>85</v>
      </c>
      <c r="C27" s="9" t="s">
        <v>86</v>
      </c>
      <c r="D27" s="9" t="s">
        <v>16</v>
      </c>
      <c r="E27" s="9" t="s">
        <v>17</v>
      </c>
      <c r="F27" s="10">
        <v>37936</v>
      </c>
      <c r="G27" s="7">
        <f t="shared" ca="1" si="0"/>
        <v>22.488888888888887</v>
      </c>
      <c r="H27" s="9" t="s">
        <v>36</v>
      </c>
      <c r="I27" s="9" t="s">
        <v>25</v>
      </c>
      <c r="J27" s="9" t="s">
        <v>31</v>
      </c>
      <c r="K27" s="9" t="s">
        <v>26</v>
      </c>
      <c r="L27" s="10">
        <v>44749</v>
      </c>
      <c r="M27" s="9">
        <f t="shared" ca="1" si="1"/>
        <v>3.8333333333333335</v>
      </c>
      <c r="N27" s="9">
        <v>6348</v>
      </c>
      <c r="O27" s="9" t="str">
        <f t="shared" si="2"/>
        <v>يوليو</v>
      </c>
      <c r="P27" s="7" t="str">
        <f t="shared" si="3"/>
        <v>راتب طبيعي</v>
      </c>
    </row>
    <row r="28" spans="1:16" x14ac:dyDescent="0.3">
      <c r="A28" s="7">
        <v>50719</v>
      </c>
      <c r="B28" s="7" t="s">
        <v>87</v>
      </c>
      <c r="C28" s="7" t="s">
        <v>88</v>
      </c>
      <c r="D28" s="7" t="s">
        <v>34</v>
      </c>
      <c r="E28" s="7" t="s">
        <v>17</v>
      </c>
      <c r="F28" s="8">
        <v>37952</v>
      </c>
      <c r="G28" s="7">
        <f t="shared" ca="1" si="0"/>
        <v>22.444444444444443</v>
      </c>
      <c r="H28" s="7" t="s">
        <v>36</v>
      </c>
      <c r="I28" s="7" t="s">
        <v>46</v>
      </c>
      <c r="J28" s="7" t="s">
        <v>21</v>
      </c>
      <c r="K28" s="7" t="s">
        <v>21</v>
      </c>
      <c r="L28" s="8">
        <v>44750</v>
      </c>
      <c r="M28" s="7">
        <f t="shared" ca="1" si="1"/>
        <v>3.8305555555555557</v>
      </c>
      <c r="N28" s="7">
        <v>14448</v>
      </c>
      <c r="O28" s="7" t="str">
        <f t="shared" si="2"/>
        <v>يوليو</v>
      </c>
      <c r="P28" s="7" t="str">
        <f t="shared" si="3"/>
        <v>راتب طبيعي</v>
      </c>
    </row>
    <row r="29" spans="1:16" x14ac:dyDescent="0.3">
      <c r="A29" s="9">
        <v>51455</v>
      </c>
      <c r="B29" s="9" t="s">
        <v>89</v>
      </c>
      <c r="C29" s="9" t="s">
        <v>90</v>
      </c>
      <c r="D29" s="9" t="s">
        <v>40</v>
      </c>
      <c r="E29" s="9" t="s">
        <v>17</v>
      </c>
      <c r="F29" s="10">
        <v>37665</v>
      </c>
      <c r="G29" s="7">
        <f t="shared" ca="1" si="0"/>
        <v>23.233333333333334</v>
      </c>
      <c r="H29" s="9" t="s">
        <v>36</v>
      </c>
      <c r="I29" s="9" t="s">
        <v>25</v>
      </c>
      <c r="J29" s="9" t="s">
        <v>31</v>
      </c>
      <c r="K29" s="9" t="s">
        <v>21</v>
      </c>
      <c r="L29" s="10">
        <v>44751</v>
      </c>
      <c r="M29" s="9">
        <f t="shared" ca="1" si="1"/>
        <v>3.8277777777777779</v>
      </c>
      <c r="N29" s="9">
        <v>3006</v>
      </c>
      <c r="O29" s="9" t="str">
        <f t="shared" si="2"/>
        <v>يوليو</v>
      </c>
      <c r="P29" s="7" t="str">
        <f t="shared" si="3"/>
        <v>راتب عالي</v>
      </c>
    </row>
    <row r="30" spans="1:16" x14ac:dyDescent="0.3">
      <c r="A30" s="7">
        <v>54793</v>
      </c>
      <c r="B30" s="7" t="s">
        <v>91</v>
      </c>
      <c r="C30" s="7" t="s">
        <v>92</v>
      </c>
      <c r="D30" s="7" t="s">
        <v>66</v>
      </c>
      <c r="E30" s="7" t="s">
        <v>17</v>
      </c>
      <c r="F30" s="8">
        <v>37932</v>
      </c>
      <c r="G30" s="7">
        <f t="shared" ca="1" si="0"/>
        <v>22.5</v>
      </c>
      <c r="H30" s="7" t="s">
        <v>18</v>
      </c>
      <c r="I30" s="7" t="s">
        <v>46</v>
      </c>
      <c r="J30" s="7" t="s">
        <v>26</v>
      </c>
      <c r="K30" s="7" t="s">
        <v>21</v>
      </c>
      <c r="L30" s="8">
        <v>44752</v>
      </c>
      <c r="M30" s="7">
        <f t="shared" ca="1" si="1"/>
        <v>3.8250000000000002</v>
      </c>
      <c r="N30" s="7">
        <v>13671</v>
      </c>
      <c r="O30" s="7" t="str">
        <f t="shared" si="2"/>
        <v>يوليو</v>
      </c>
      <c r="P30" s="7" t="str">
        <f t="shared" si="3"/>
        <v>راتب طبيعي</v>
      </c>
    </row>
    <row r="31" spans="1:16" x14ac:dyDescent="0.3">
      <c r="A31" s="9">
        <v>54525</v>
      </c>
      <c r="B31" s="9" t="s">
        <v>93</v>
      </c>
      <c r="C31" s="9" t="s">
        <v>94</v>
      </c>
      <c r="D31" s="9" t="s">
        <v>95</v>
      </c>
      <c r="E31" s="9" t="s">
        <v>17</v>
      </c>
      <c r="F31" s="10">
        <v>37697</v>
      </c>
      <c r="G31" s="7">
        <f t="shared" ca="1" si="0"/>
        <v>23.138888888888889</v>
      </c>
      <c r="H31" s="9" t="s">
        <v>18</v>
      </c>
      <c r="I31" s="9" t="s">
        <v>25</v>
      </c>
      <c r="J31" s="9" t="s">
        <v>27</v>
      </c>
      <c r="K31" s="9" t="s">
        <v>21</v>
      </c>
      <c r="L31" s="10">
        <v>44753</v>
      </c>
      <c r="M31" s="9">
        <f t="shared" ca="1" si="1"/>
        <v>3.8222222222222224</v>
      </c>
      <c r="N31" s="9">
        <v>5407</v>
      </c>
      <c r="O31" s="9" t="str">
        <f t="shared" si="2"/>
        <v>يوليو</v>
      </c>
      <c r="P31" s="7" t="str">
        <f t="shared" si="3"/>
        <v>راتب عالي</v>
      </c>
    </row>
    <row r="32" spans="1:16" x14ac:dyDescent="0.3">
      <c r="A32" s="7">
        <v>52847</v>
      </c>
      <c r="B32" s="7" t="s">
        <v>96</v>
      </c>
      <c r="C32" s="7" t="s">
        <v>97</v>
      </c>
      <c r="D32" s="7" t="s">
        <v>95</v>
      </c>
      <c r="E32" s="7" t="s">
        <v>17</v>
      </c>
      <c r="F32" s="8">
        <v>37890</v>
      </c>
      <c r="G32" s="7">
        <f t="shared" ca="1" si="0"/>
        <v>22.613888888888887</v>
      </c>
      <c r="H32" s="7" t="s">
        <v>18</v>
      </c>
      <c r="I32" s="7" t="s">
        <v>25</v>
      </c>
      <c r="J32" s="7" t="s">
        <v>21</v>
      </c>
      <c r="K32" s="7" t="s">
        <v>21</v>
      </c>
      <c r="L32" s="8">
        <v>44754</v>
      </c>
      <c r="M32" s="7">
        <f t="shared" ca="1" si="1"/>
        <v>3.8194444444444446</v>
      </c>
      <c r="N32" s="7">
        <v>4353</v>
      </c>
      <c r="O32" s="7" t="str">
        <f t="shared" si="2"/>
        <v>يوليو</v>
      </c>
      <c r="P32" s="7" t="str">
        <f t="shared" si="3"/>
        <v>راتب عالي</v>
      </c>
    </row>
    <row r="33" spans="1:16" x14ac:dyDescent="0.3">
      <c r="A33" s="9">
        <v>56798</v>
      </c>
      <c r="B33" s="9" t="s">
        <v>98</v>
      </c>
      <c r="C33" s="9" t="s">
        <v>99</v>
      </c>
      <c r="D33" s="9" t="s">
        <v>34</v>
      </c>
      <c r="E33" s="9" t="s">
        <v>17</v>
      </c>
      <c r="F33" s="10">
        <v>37762</v>
      </c>
      <c r="G33" s="7">
        <f t="shared" ca="1" si="0"/>
        <v>22.961111111111112</v>
      </c>
      <c r="H33" s="9" t="s">
        <v>18</v>
      </c>
      <c r="I33" s="9" t="s">
        <v>25</v>
      </c>
      <c r="J33" s="9" t="s">
        <v>20</v>
      </c>
      <c r="K33" s="9" t="s">
        <v>21</v>
      </c>
      <c r="L33" s="10">
        <v>44755</v>
      </c>
      <c r="M33" s="9">
        <f t="shared" ca="1" si="1"/>
        <v>3.8166666666666669</v>
      </c>
      <c r="N33" s="9">
        <v>4735</v>
      </c>
      <c r="O33" s="9" t="str">
        <f t="shared" si="2"/>
        <v>يوليو</v>
      </c>
      <c r="P33" s="7" t="str">
        <f t="shared" si="3"/>
        <v>راتب عالي</v>
      </c>
    </row>
    <row r="34" spans="1:16" x14ac:dyDescent="0.3">
      <c r="A34" s="7">
        <v>59765</v>
      </c>
      <c r="B34" s="7" t="s">
        <v>100</v>
      </c>
      <c r="C34" s="7" t="s">
        <v>101</v>
      </c>
      <c r="D34" s="7" t="s">
        <v>40</v>
      </c>
      <c r="E34" s="7" t="s">
        <v>17</v>
      </c>
      <c r="F34" s="8">
        <v>37821</v>
      </c>
      <c r="G34" s="7">
        <f t="shared" ca="1" si="0"/>
        <v>22.8</v>
      </c>
      <c r="H34" s="7" t="s">
        <v>18</v>
      </c>
      <c r="I34" s="7" t="s">
        <v>25</v>
      </c>
      <c r="J34" s="7" t="s">
        <v>27</v>
      </c>
      <c r="K34" s="7" t="s">
        <v>21</v>
      </c>
      <c r="L34" s="8">
        <v>44756</v>
      </c>
      <c r="M34" s="7">
        <f t="shared" ca="1" si="1"/>
        <v>3.8138888888888891</v>
      </c>
      <c r="N34" s="7">
        <v>3820</v>
      </c>
      <c r="O34" s="7" t="str">
        <f t="shared" si="2"/>
        <v>يوليو</v>
      </c>
      <c r="P34" s="7" t="str">
        <f t="shared" si="3"/>
        <v>راتب عالي</v>
      </c>
    </row>
    <row r="35" spans="1:16" x14ac:dyDescent="0.3">
      <c r="A35" s="9">
        <v>58108</v>
      </c>
      <c r="B35" s="9" t="s">
        <v>102</v>
      </c>
      <c r="C35" s="9" t="s">
        <v>103</v>
      </c>
      <c r="D35" s="9" t="s">
        <v>95</v>
      </c>
      <c r="E35" s="9" t="s">
        <v>17</v>
      </c>
      <c r="F35" s="10">
        <v>37625</v>
      </c>
      <c r="G35" s="7">
        <f t="shared" ca="1" si="0"/>
        <v>23.341666666666665</v>
      </c>
      <c r="H35" s="9" t="s">
        <v>18</v>
      </c>
      <c r="I35" s="9" t="s">
        <v>25</v>
      </c>
      <c r="J35" s="9" t="s">
        <v>27</v>
      </c>
      <c r="K35" s="9" t="s">
        <v>21</v>
      </c>
      <c r="L35" s="10">
        <v>44757</v>
      </c>
      <c r="M35" s="9">
        <f t="shared" ca="1" si="1"/>
        <v>3.8111111111111109</v>
      </c>
      <c r="N35" s="9">
        <v>5609</v>
      </c>
      <c r="O35" s="9" t="str">
        <f t="shared" si="2"/>
        <v>يوليو</v>
      </c>
      <c r="P35" s="7" t="str">
        <f t="shared" si="3"/>
        <v>راتب عالي</v>
      </c>
    </row>
    <row r="36" spans="1:16" x14ac:dyDescent="0.3">
      <c r="A36" s="7">
        <v>50960</v>
      </c>
      <c r="B36" s="7" t="s">
        <v>104</v>
      </c>
      <c r="C36" s="7" t="s">
        <v>105</v>
      </c>
      <c r="D36" s="7" t="s">
        <v>16</v>
      </c>
      <c r="E36" s="7" t="s">
        <v>17</v>
      </c>
      <c r="F36" s="8">
        <v>37668</v>
      </c>
      <c r="G36" s="7">
        <f t="shared" ca="1" si="0"/>
        <v>23.225000000000001</v>
      </c>
      <c r="H36" s="7" t="s">
        <v>36</v>
      </c>
      <c r="I36" s="7" t="s">
        <v>19</v>
      </c>
      <c r="J36" s="7" t="s">
        <v>21</v>
      </c>
      <c r="K36" s="7" t="s">
        <v>21</v>
      </c>
      <c r="L36" s="8">
        <v>44758</v>
      </c>
      <c r="M36" s="7">
        <f t="shared" ca="1" si="1"/>
        <v>3.8083333333333331</v>
      </c>
      <c r="N36" s="7">
        <v>29731</v>
      </c>
      <c r="O36" s="7" t="str">
        <f t="shared" si="2"/>
        <v>يوليو</v>
      </c>
      <c r="P36" s="7" t="str">
        <f t="shared" si="3"/>
        <v>راتب طبيعي</v>
      </c>
    </row>
    <row r="37" spans="1:16" x14ac:dyDescent="0.3">
      <c r="A37" s="9">
        <v>59038</v>
      </c>
      <c r="B37" s="9" t="s">
        <v>106</v>
      </c>
      <c r="C37" s="9" t="s">
        <v>107</v>
      </c>
      <c r="D37" s="9" t="s">
        <v>30</v>
      </c>
      <c r="E37" s="9" t="s">
        <v>17</v>
      </c>
      <c r="F37" s="10">
        <v>37632</v>
      </c>
      <c r="G37" s="7">
        <f t="shared" ca="1" si="0"/>
        <v>23.322222222222223</v>
      </c>
      <c r="H37" s="9" t="s">
        <v>18</v>
      </c>
      <c r="I37" s="9" t="s">
        <v>25</v>
      </c>
      <c r="J37" s="9" t="s">
        <v>27</v>
      </c>
      <c r="K37" s="9" t="s">
        <v>21</v>
      </c>
      <c r="L37" s="10">
        <v>44759</v>
      </c>
      <c r="M37" s="9">
        <f t="shared" ca="1" si="1"/>
        <v>3.8055555555555554</v>
      </c>
      <c r="N37" s="9">
        <v>5261</v>
      </c>
      <c r="O37" s="9" t="str">
        <f t="shared" si="2"/>
        <v>يوليو</v>
      </c>
      <c r="P37" s="7" t="str">
        <f t="shared" si="3"/>
        <v>راتب عالي</v>
      </c>
    </row>
    <row r="38" spans="1:16" x14ac:dyDescent="0.3">
      <c r="A38" s="7">
        <v>54873</v>
      </c>
      <c r="B38" s="7" t="s">
        <v>108</v>
      </c>
      <c r="C38" s="7" t="s">
        <v>109</v>
      </c>
      <c r="D38" s="7" t="s">
        <v>30</v>
      </c>
      <c r="E38" s="7" t="s">
        <v>17</v>
      </c>
      <c r="F38" s="8">
        <v>30577</v>
      </c>
      <c r="G38" s="7">
        <f t="shared" ca="1" si="0"/>
        <v>42.636111111111113</v>
      </c>
      <c r="H38" s="7" t="s">
        <v>36</v>
      </c>
      <c r="I38" s="7" t="s">
        <v>25</v>
      </c>
      <c r="J38" s="7" t="s">
        <v>27</v>
      </c>
      <c r="K38" s="7" t="s">
        <v>21</v>
      </c>
      <c r="L38" s="8">
        <v>44760</v>
      </c>
      <c r="M38" s="7">
        <f t="shared" ca="1" si="1"/>
        <v>3.8027777777777776</v>
      </c>
      <c r="N38" s="7">
        <v>6004</v>
      </c>
      <c r="O38" s="7" t="str">
        <f t="shared" si="2"/>
        <v>يوليو</v>
      </c>
      <c r="P38" s="7" t="str">
        <f t="shared" si="3"/>
        <v>راتب طبيعي</v>
      </c>
    </row>
    <row r="39" spans="1:16" x14ac:dyDescent="0.3">
      <c r="A39" s="9">
        <v>55913</v>
      </c>
      <c r="B39" s="9" t="s">
        <v>110</v>
      </c>
      <c r="C39" s="9" t="s">
        <v>111</v>
      </c>
      <c r="D39" s="9" t="s">
        <v>95</v>
      </c>
      <c r="E39" s="9" t="s">
        <v>17</v>
      </c>
      <c r="F39" s="10">
        <v>34689</v>
      </c>
      <c r="G39" s="7">
        <f t="shared" ca="1" si="0"/>
        <v>31.377777777777776</v>
      </c>
      <c r="H39" s="9" t="s">
        <v>36</v>
      </c>
      <c r="I39" s="9" t="s">
        <v>46</v>
      </c>
      <c r="J39" s="9" t="s">
        <v>26</v>
      </c>
      <c r="K39" s="9" t="s">
        <v>21</v>
      </c>
      <c r="L39" s="10">
        <v>44761</v>
      </c>
      <c r="M39" s="9">
        <f t="shared" ca="1" si="1"/>
        <v>3.8</v>
      </c>
      <c r="N39" s="9">
        <v>13635</v>
      </c>
      <c r="O39" s="9" t="str">
        <f t="shared" si="2"/>
        <v>يوليو</v>
      </c>
      <c r="P39" s="7" t="str">
        <f t="shared" si="3"/>
        <v>راتب طبيعي</v>
      </c>
    </row>
    <row r="40" spans="1:16" x14ac:dyDescent="0.3">
      <c r="A40" s="7">
        <v>53199</v>
      </c>
      <c r="B40" s="7" t="s">
        <v>112</v>
      </c>
      <c r="C40" s="7" t="s">
        <v>113</v>
      </c>
      <c r="D40" s="7" t="s">
        <v>53</v>
      </c>
      <c r="E40" s="7" t="s">
        <v>17</v>
      </c>
      <c r="F40" s="8">
        <v>31224</v>
      </c>
      <c r="G40" s="7">
        <f t="shared" ca="1" si="0"/>
        <v>40.863888888888887</v>
      </c>
      <c r="H40" s="7" t="s">
        <v>18</v>
      </c>
      <c r="I40" s="7" t="s">
        <v>25</v>
      </c>
      <c r="J40" s="7" t="s">
        <v>20</v>
      </c>
      <c r="K40" s="7" t="s">
        <v>21</v>
      </c>
      <c r="L40" s="8">
        <v>44762</v>
      </c>
      <c r="M40" s="7">
        <f t="shared" ca="1" si="1"/>
        <v>3.7972222222222221</v>
      </c>
      <c r="N40" s="7">
        <v>4293</v>
      </c>
      <c r="O40" s="7" t="str">
        <f t="shared" si="2"/>
        <v>يوليو</v>
      </c>
      <c r="P40" s="7" t="str">
        <f t="shared" si="3"/>
        <v>راتب عالي</v>
      </c>
    </row>
    <row r="41" spans="1:16" x14ac:dyDescent="0.3">
      <c r="A41" s="9">
        <v>57806</v>
      </c>
      <c r="B41" s="9" t="s">
        <v>114</v>
      </c>
      <c r="C41" s="9" t="s">
        <v>115</v>
      </c>
      <c r="D41" s="9" t="s">
        <v>43</v>
      </c>
      <c r="E41" s="9" t="s">
        <v>17</v>
      </c>
      <c r="F41" s="10">
        <v>33370</v>
      </c>
      <c r="G41" s="7">
        <f t="shared" ca="1" si="0"/>
        <v>34.986111111111114</v>
      </c>
      <c r="H41" s="9" t="s">
        <v>18</v>
      </c>
      <c r="I41" s="9" t="s">
        <v>25</v>
      </c>
      <c r="J41" s="9" t="s">
        <v>27</v>
      </c>
      <c r="K41" s="9" t="s">
        <v>37</v>
      </c>
      <c r="L41" s="10">
        <v>44763</v>
      </c>
      <c r="M41" s="9">
        <f t="shared" ca="1" si="1"/>
        <v>3.7944444444444443</v>
      </c>
      <c r="N41" s="9">
        <v>6381</v>
      </c>
      <c r="O41" s="9" t="str">
        <f t="shared" si="2"/>
        <v>يوليو</v>
      </c>
      <c r="P41" s="7" t="str">
        <f t="shared" si="3"/>
        <v>راتب طبيعي</v>
      </c>
    </row>
    <row r="42" spans="1:16" x14ac:dyDescent="0.3">
      <c r="A42" s="7">
        <v>59070</v>
      </c>
      <c r="B42" s="7" t="s">
        <v>116</v>
      </c>
      <c r="C42" s="7" t="s">
        <v>117</v>
      </c>
      <c r="D42" s="7" t="s">
        <v>40</v>
      </c>
      <c r="E42" s="7" t="s">
        <v>17</v>
      </c>
      <c r="F42" s="8">
        <v>36255</v>
      </c>
      <c r="G42" s="7">
        <f t="shared" ca="1" si="0"/>
        <v>27.088888888888889</v>
      </c>
      <c r="H42" s="7" t="s">
        <v>18</v>
      </c>
      <c r="I42" s="7" t="s">
        <v>46</v>
      </c>
      <c r="J42" s="7" t="s">
        <v>31</v>
      </c>
      <c r="K42" s="7" t="s">
        <v>26</v>
      </c>
      <c r="L42" s="8">
        <v>44764</v>
      </c>
      <c r="M42" s="7">
        <f t="shared" ca="1" si="1"/>
        <v>3.7916666666666665</v>
      </c>
      <c r="N42" s="7">
        <v>11106</v>
      </c>
      <c r="O42" s="7" t="str">
        <f t="shared" si="2"/>
        <v>يوليو</v>
      </c>
      <c r="P42" s="7" t="str">
        <f t="shared" si="3"/>
        <v>راتب طبيعي</v>
      </c>
    </row>
    <row r="43" spans="1:16" x14ac:dyDescent="0.3">
      <c r="A43" s="9">
        <v>56684</v>
      </c>
      <c r="B43" s="9" t="s">
        <v>118</v>
      </c>
      <c r="C43" s="9" t="s">
        <v>119</v>
      </c>
      <c r="D43" s="9" t="s">
        <v>53</v>
      </c>
      <c r="E43" s="9" t="s">
        <v>17</v>
      </c>
      <c r="F43" s="10">
        <v>34421</v>
      </c>
      <c r="G43" s="7">
        <f t="shared" ca="1" si="0"/>
        <v>32.108333333333334</v>
      </c>
      <c r="H43" s="9" t="s">
        <v>18</v>
      </c>
      <c r="I43" s="9" t="s">
        <v>19</v>
      </c>
      <c r="J43" s="9" t="s">
        <v>26</v>
      </c>
      <c r="K43" s="9" t="s">
        <v>20</v>
      </c>
      <c r="L43" s="10">
        <v>44765</v>
      </c>
      <c r="M43" s="9">
        <f t="shared" ca="1" si="1"/>
        <v>3.7888888888888888</v>
      </c>
      <c r="N43" s="9">
        <v>25288</v>
      </c>
      <c r="O43" s="9" t="str">
        <f t="shared" si="2"/>
        <v>يوليو</v>
      </c>
      <c r="P43" s="7" t="str">
        <f t="shared" si="3"/>
        <v>راتب طبيعي</v>
      </c>
    </row>
    <row r="44" spans="1:16" x14ac:dyDescent="0.3">
      <c r="A44" s="7">
        <v>50716</v>
      </c>
      <c r="B44" s="7" t="s">
        <v>120</v>
      </c>
      <c r="C44" s="7" t="s">
        <v>121</v>
      </c>
      <c r="D44" s="7" t="s">
        <v>53</v>
      </c>
      <c r="E44" s="7" t="s">
        <v>17</v>
      </c>
      <c r="F44" s="8">
        <v>37880</v>
      </c>
      <c r="G44" s="7">
        <f t="shared" ca="1" si="0"/>
        <v>22.641666666666666</v>
      </c>
      <c r="H44" s="7" t="s">
        <v>36</v>
      </c>
      <c r="I44" s="7" t="s">
        <v>25</v>
      </c>
      <c r="J44" s="7" t="s">
        <v>31</v>
      </c>
      <c r="K44" s="7" t="s">
        <v>26</v>
      </c>
      <c r="L44" s="8">
        <v>44766</v>
      </c>
      <c r="M44" s="7">
        <f t="shared" ca="1" si="1"/>
        <v>3.786111111111111</v>
      </c>
      <c r="N44" s="7">
        <v>4687</v>
      </c>
      <c r="O44" s="7" t="str">
        <f t="shared" si="2"/>
        <v>يوليو</v>
      </c>
      <c r="P44" s="7" t="str">
        <f t="shared" si="3"/>
        <v>راتب عالي</v>
      </c>
    </row>
    <row r="45" spans="1:16" x14ac:dyDescent="0.3">
      <c r="A45" s="9">
        <v>55721</v>
      </c>
      <c r="B45" s="9" t="s">
        <v>122</v>
      </c>
      <c r="C45" s="9" t="s">
        <v>123</v>
      </c>
      <c r="D45" s="9" t="s">
        <v>16</v>
      </c>
      <c r="E45" s="9" t="s">
        <v>17</v>
      </c>
      <c r="F45" s="10">
        <v>35858</v>
      </c>
      <c r="G45" s="7">
        <f t="shared" ca="1" si="0"/>
        <v>28.175000000000001</v>
      </c>
      <c r="H45" s="9" t="s">
        <v>18</v>
      </c>
      <c r="I45" s="9" t="s">
        <v>19</v>
      </c>
      <c r="J45" s="9" t="s">
        <v>27</v>
      </c>
      <c r="K45" s="9" t="s">
        <v>26</v>
      </c>
      <c r="L45" s="10">
        <v>44767</v>
      </c>
      <c r="M45" s="9">
        <f t="shared" ca="1" si="1"/>
        <v>3.7833333333333332</v>
      </c>
      <c r="N45" s="9">
        <v>21483</v>
      </c>
      <c r="O45" s="9" t="str">
        <f t="shared" si="2"/>
        <v>يوليو</v>
      </c>
      <c r="P45" s="7" t="str">
        <f t="shared" si="3"/>
        <v>راتب طبيعي</v>
      </c>
    </row>
    <row r="46" spans="1:16" x14ac:dyDescent="0.3">
      <c r="A46" s="7">
        <v>51952</v>
      </c>
      <c r="B46" s="7" t="s">
        <v>124</v>
      </c>
      <c r="C46" s="7" t="s">
        <v>125</v>
      </c>
      <c r="D46" s="7" t="s">
        <v>16</v>
      </c>
      <c r="E46" s="7" t="s">
        <v>17</v>
      </c>
      <c r="F46" s="8">
        <v>29978</v>
      </c>
      <c r="G46" s="7">
        <f t="shared" ca="1" si="0"/>
        <v>44.277777777777779</v>
      </c>
      <c r="H46" s="7" t="s">
        <v>36</v>
      </c>
      <c r="I46" s="7" t="s">
        <v>19</v>
      </c>
      <c r="J46" s="7" t="s">
        <v>26</v>
      </c>
      <c r="K46" s="7" t="s">
        <v>37</v>
      </c>
      <c r="L46" s="8">
        <v>44768</v>
      </c>
      <c r="M46" s="7">
        <f t="shared" ca="1" si="1"/>
        <v>3.7805555555555554</v>
      </c>
      <c r="N46" s="7">
        <v>16425</v>
      </c>
      <c r="O46" s="7" t="str">
        <f t="shared" si="2"/>
        <v>يوليو</v>
      </c>
      <c r="P46" s="7" t="str">
        <f t="shared" si="3"/>
        <v>راتب طبيعي</v>
      </c>
    </row>
    <row r="47" spans="1:16" x14ac:dyDescent="0.3">
      <c r="A47" s="9">
        <v>53841</v>
      </c>
      <c r="B47" s="9" t="s">
        <v>126</v>
      </c>
      <c r="C47" s="9" t="s">
        <v>127</v>
      </c>
      <c r="D47" s="9" t="s">
        <v>16</v>
      </c>
      <c r="E47" s="9" t="s">
        <v>35</v>
      </c>
      <c r="F47" s="10">
        <v>33163</v>
      </c>
      <c r="G47" s="7">
        <f t="shared" ca="1" si="0"/>
        <v>35.555555555555557</v>
      </c>
      <c r="H47" s="9" t="s">
        <v>18</v>
      </c>
      <c r="I47" s="9" t="s">
        <v>19</v>
      </c>
      <c r="J47" s="9" t="s">
        <v>26</v>
      </c>
      <c r="K47" s="9" t="s">
        <v>21</v>
      </c>
      <c r="L47" s="10">
        <v>44769</v>
      </c>
      <c r="M47" s="9">
        <f t="shared" ca="1" si="1"/>
        <v>3.7777777777777777</v>
      </c>
      <c r="N47" s="9">
        <v>27850</v>
      </c>
      <c r="O47" s="9" t="str">
        <f t="shared" si="2"/>
        <v>يوليو</v>
      </c>
      <c r="P47" s="7" t="str">
        <f t="shared" si="3"/>
        <v>راتب طبيعي</v>
      </c>
    </row>
    <row r="48" spans="1:16" x14ac:dyDescent="0.3">
      <c r="A48" s="7">
        <v>58109</v>
      </c>
      <c r="B48" s="7" t="s">
        <v>128</v>
      </c>
      <c r="C48" s="7" t="s">
        <v>129</v>
      </c>
      <c r="D48" s="7" t="s">
        <v>16</v>
      </c>
      <c r="E48" s="7" t="s">
        <v>17</v>
      </c>
      <c r="F48" s="8">
        <v>33485</v>
      </c>
      <c r="G48" s="7">
        <f t="shared" ca="1" si="0"/>
        <v>34.674999999999997</v>
      </c>
      <c r="H48" s="7" t="s">
        <v>36</v>
      </c>
      <c r="I48" s="7" t="s">
        <v>19</v>
      </c>
      <c r="J48" s="7" t="s">
        <v>26</v>
      </c>
      <c r="K48" s="7" t="s">
        <v>31</v>
      </c>
      <c r="L48" s="8">
        <v>44770</v>
      </c>
      <c r="M48" s="7">
        <f t="shared" ca="1" si="1"/>
        <v>3.7749999999999999</v>
      </c>
      <c r="N48" s="7">
        <v>18274</v>
      </c>
      <c r="O48" s="7" t="str">
        <f t="shared" si="2"/>
        <v>يوليو</v>
      </c>
      <c r="P48" s="7" t="str">
        <f t="shared" si="3"/>
        <v>راتب طبيعي</v>
      </c>
    </row>
    <row r="49" spans="1:16" x14ac:dyDescent="0.3">
      <c r="A49" s="9">
        <v>50961</v>
      </c>
      <c r="B49" s="9" t="s">
        <v>130</v>
      </c>
      <c r="C49" s="9" t="s">
        <v>131</v>
      </c>
      <c r="D49" s="9" t="s">
        <v>16</v>
      </c>
      <c r="E49" s="9" t="s">
        <v>17</v>
      </c>
      <c r="F49" s="10">
        <v>34988</v>
      </c>
      <c r="G49" s="7">
        <f t="shared" ca="1" si="0"/>
        <v>30.558333333333334</v>
      </c>
      <c r="H49" s="9" t="s">
        <v>18</v>
      </c>
      <c r="I49" s="9" t="s">
        <v>25</v>
      </c>
      <c r="J49" s="9" t="s">
        <v>31</v>
      </c>
      <c r="K49" s="9" t="s">
        <v>21</v>
      </c>
      <c r="L49" s="10">
        <v>44771</v>
      </c>
      <c r="M49" s="9">
        <f t="shared" ca="1" si="1"/>
        <v>3.7722222222222221</v>
      </c>
      <c r="N49" s="9">
        <v>5505</v>
      </c>
      <c r="O49" s="9" t="str">
        <f t="shared" si="2"/>
        <v>يوليو</v>
      </c>
      <c r="P49" s="7" t="str">
        <f t="shared" si="3"/>
        <v>راتب عالي</v>
      </c>
    </row>
    <row r="50" spans="1:16" x14ac:dyDescent="0.3">
      <c r="A50" s="7">
        <v>55443</v>
      </c>
      <c r="B50" s="7" t="s">
        <v>132</v>
      </c>
      <c r="C50" s="7" t="s">
        <v>133</v>
      </c>
      <c r="D50" s="7" t="s">
        <v>16</v>
      </c>
      <c r="E50" s="7" t="s">
        <v>35</v>
      </c>
      <c r="F50" s="8">
        <v>35853</v>
      </c>
      <c r="G50" s="7">
        <f t="shared" ca="1" si="0"/>
        <v>28.194444444444443</v>
      </c>
      <c r="H50" s="7" t="s">
        <v>36</v>
      </c>
      <c r="I50" s="7" t="s">
        <v>19</v>
      </c>
      <c r="J50" s="7" t="s">
        <v>21</v>
      </c>
      <c r="K50" s="7" t="s">
        <v>31</v>
      </c>
      <c r="L50" s="8">
        <v>44772</v>
      </c>
      <c r="M50" s="7">
        <f t="shared" ca="1" si="1"/>
        <v>3.7694444444444444</v>
      </c>
      <c r="N50" s="7">
        <v>20311</v>
      </c>
      <c r="O50" s="7" t="str">
        <f t="shared" si="2"/>
        <v>يوليو</v>
      </c>
      <c r="P50" s="7" t="str">
        <f t="shared" si="3"/>
        <v>راتب طبيعي</v>
      </c>
    </row>
    <row r="51" spans="1:16" x14ac:dyDescent="0.3">
      <c r="A51" s="9">
        <v>54954</v>
      </c>
      <c r="B51" s="9" t="s">
        <v>134</v>
      </c>
      <c r="C51" s="9" t="s">
        <v>135</v>
      </c>
      <c r="D51" s="9" t="s">
        <v>16</v>
      </c>
      <c r="E51" s="9" t="s">
        <v>35</v>
      </c>
      <c r="F51" s="10">
        <v>37615</v>
      </c>
      <c r="G51" s="7">
        <f t="shared" ca="1" si="0"/>
        <v>23.366666666666667</v>
      </c>
      <c r="H51" s="9" t="s">
        <v>36</v>
      </c>
      <c r="I51" s="9" t="s">
        <v>46</v>
      </c>
      <c r="J51" s="9" t="s">
        <v>26</v>
      </c>
      <c r="K51" s="9" t="s">
        <v>21</v>
      </c>
      <c r="L51" s="10">
        <v>44773</v>
      </c>
      <c r="M51" s="9">
        <f t="shared" ca="1" si="1"/>
        <v>3.7694444444444444</v>
      </c>
      <c r="N51" s="9">
        <v>10967</v>
      </c>
      <c r="O51" s="9" t="str">
        <f t="shared" si="2"/>
        <v>يوليو</v>
      </c>
      <c r="P51" s="7" t="str">
        <f t="shared" si="3"/>
        <v>راتب طبيعي</v>
      </c>
    </row>
    <row r="52" spans="1:16" x14ac:dyDescent="0.3">
      <c r="A52" s="7">
        <v>53953</v>
      </c>
      <c r="B52" s="7" t="s">
        <v>136</v>
      </c>
      <c r="C52" s="7" t="s">
        <v>137</v>
      </c>
      <c r="D52" s="7" t="s">
        <v>40</v>
      </c>
      <c r="E52" s="7" t="s">
        <v>17</v>
      </c>
      <c r="F52" s="8">
        <v>30855</v>
      </c>
      <c r="G52" s="7">
        <f t="shared" ca="1" si="0"/>
        <v>41.875</v>
      </c>
      <c r="H52" s="7" t="s">
        <v>18</v>
      </c>
      <c r="I52" s="7" t="s">
        <v>25</v>
      </c>
      <c r="J52" s="7" t="s">
        <v>26</v>
      </c>
      <c r="K52" s="7" t="s">
        <v>21</v>
      </c>
      <c r="L52" s="8">
        <v>44774</v>
      </c>
      <c r="M52" s="7">
        <f t="shared" ca="1" si="1"/>
        <v>3.7666666666666666</v>
      </c>
      <c r="N52" s="7">
        <v>5036</v>
      </c>
      <c r="O52" s="7" t="str">
        <f t="shared" si="2"/>
        <v>أغسطس</v>
      </c>
      <c r="P52" s="7" t="str">
        <f t="shared" si="3"/>
        <v>راتب عالي</v>
      </c>
    </row>
    <row r="53" spans="1:16" x14ac:dyDescent="0.3">
      <c r="A53" s="9">
        <v>55533</v>
      </c>
      <c r="B53" s="9" t="s">
        <v>138</v>
      </c>
      <c r="C53" s="9" t="s">
        <v>139</v>
      </c>
      <c r="D53" s="9" t="s">
        <v>40</v>
      </c>
      <c r="E53" s="9" t="s">
        <v>35</v>
      </c>
      <c r="F53" s="10">
        <v>36984</v>
      </c>
      <c r="G53" s="7">
        <f t="shared" ca="1" si="0"/>
        <v>25.094444444444445</v>
      </c>
      <c r="H53" s="9" t="s">
        <v>18</v>
      </c>
      <c r="I53" s="9" t="s">
        <v>19</v>
      </c>
      <c r="J53" s="9" t="s">
        <v>20</v>
      </c>
      <c r="K53" s="9" t="s">
        <v>21</v>
      </c>
      <c r="L53" s="10">
        <v>44775</v>
      </c>
      <c r="M53" s="9">
        <f t="shared" ca="1" si="1"/>
        <v>3.7638888888888888</v>
      </c>
      <c r="N53" s="9">
        <v>19257</v>
      </c>
      <c r="O53" s="9" t="str">
        <f t="shared" si="2"/>
        <v>أغسطس</v>
      </c>
      <c r="P53" s="7" t="str">
        <f t="shared" si="3"/>
        <v>راتب طبيعي</v>
      </c>
    </row>
    <row r="54" spans="1:16" x14ac:dyDescent="0.3">
      <c r="A54" s="7">
        <v>57179</v>
      </c>
      <c r="B54" s="7" t="s">
        <v>140</v>
      </c>
      <c r="C54" s="7" t="s">
        <v>141</v>
      </c>
      <c r="D54" s="7" t="s">
        <v>30</v>
      </c>
      <c r="E54" s="7" t="s">
        <v>17</v>
      </c>
      <c r="F54" s="8">
        <v>37430</v>
      </c>
      <c r="G54" s="7">
        <f t="shared" ca="1" si="0"/>
        <v>23.872222222222224</v>
      </c>
      <c r="H54" s="7" t="s">
        <v>36</v>
      </c>
      <c r="I54" s="7" t="s">
        <v>25</v>
      </c>
      <c r="J54" s="7" t="s">
        <v>26</v>
      </c>
      <c r="K54" s="7" t="s">
        <v>21</v>
      </c>
      <c r="L54" s="8">
        <v>44776</v>
      </c>
      <c r="M54" s="7">
        <f t="shared" ca="1" si="1"/>
        <v>3.7611111111111111</v>
      </c>
      <c r="N54" s="7">
        <v>3384</v>
      </c>
      <c r="O54" s="7" t="str">
        <f t="shared" si="2"/>
        <v>أغسطس</v>
      </c>
      <c r="P54" s="7" t="str">
        <f t="shared" si="3"/>
        <v>راتب عالي</v>
      </c>
    </row>
    <row r="55" spans="1:16" x14ac:dyDescent="0.3">
      <c r="A55" s="9">
        <v>58756</v>
      </c>
      <c r="B55" s="9" t="s">
        <v>142</v>
      </c>
      <c r="C55" s="9" t="s">
        <v>143</v>
      </c>
      <c r="D55" s="9" t="s">
        <v>40</v>
      </c>
      <c r="E55" s="9" t="s">
        <v>17</v>
      </c>
      <c r="F55" s="10">
        <v>35241</v>
      </c>
      <c r="G55" s="7">
        <f t="shared" ca="1" si="0"/>
        <v>29.866666666666667</v>
      </c>
      <c r="H55" s="9" t="s">
        <v>36</v>
      </c>
      <c r="I55" s="9" t="s">
        <v>25</v>
      </c>
      <c r="J55" s="9" t="s">
        <v>21</v>
      </c>
      <c r="K55" s="9" t="s">
        <v>21</v>
      </c>
      <c r="L55" s="10">
        <v>44777</v>
      </c>
      <c r="M55" s="9">
        <f t="shared" ca="1" si="1"/>
        <v>3.7583333333333333</v>
      </c>
      <c r="N55" s="9">
        <v>6381</v>
      </c>
      <c r="O55" s="9" t="str">
        <f t="shared" si="2"/>
        <v>أغسطس</v>
      </c>
      <c r="P55" s="7" t="str">
        <f t="shared" si="3"/>
        <v>راتب طبيعي</v>
      </c>
    </row>
    <row r="56" spans="1:16" x14ac:dyDescent="0.3">
      <c r="A56" s="7">
        <v>58050</v>
      </c>
      <c r="B56" s="7" t="s">
        <v>144</v>
      </c>
      <c r="C56" s="7" t="s">
        <v>145</v>
      </c>
      <c r="D56" s="7" t="s">
        <v>146</v>
      </c>
      <c r="E56" s="7" t="s">
        <v>35</v>
      </c>
      <c r="F56" s="8">
        <v>36416</v>
      </c>
      <c r="G56" s="7">
        <f t="shared" ca="1" si="0"/>
        <v>26.65</v>
      </c>
      <c r="H56" s="7" t="s">
        <v>36</v>
      </c>
      <c r="I56" s="7" t="s">
        <v>25</v>
      </c>
      <c r="J56" s="7" t="s">
        <v>31</v>
      </c>
      <c r="K56" s="7" t="s">
        <v>21</v>
      </c>
      <c r="L56" s="8">
        <v>44778</v>
      </c>
      <c r="M56" s="7">
        <f t="shared" ca="1" si="1"/>
        <v>3.7555555555555555</v>
      </c>
      <c r="N56" s="7">
        <v>5947</v>
      </c>
      <c r="O56" s="7" t="str">
        <f t="shared" si="2"/>
        <v>أغسطس</v>
      </c>
      <c r="P56" s="7" t="str">
        <f t="shared" si="3"/>
        <v>راتب عالي</v>
      </c>
    </row>
    <row r="57" spans="1:16" x14ac:dyDescent="0.3">
      <c r="A57" s="9">
        <v>51875</v>
      </c>
      <c r="B57" s="9" t="s">
        <v>147</v>
      </c>
      <c r="C57" s="9" t="s">
        <v>148</v>
      </c>
      <c r="D57" s="9" t="s">
        <v>43</v>
      </c>
      <c r="E57" s="9" t="s">
        <v>17</v>
      </c>
      <c r="F57" s="10">
        <v>32097</v>
      </c>
      <c r="G57" s="7">
        <f t="shared" ca="1" si="0"/>
        <v>38.475000000000001</v>
      </c>
      <c r="H57" s="9" t="s">
        <v>18</v>
      </c>
      <c r="I57" s="9" t="s">
        <v>46</v>
      </c>
      <c r="J57" s="9" t="s">
        <v>26</v>
      </c>
      <c r="K57" s="9" t="s">
        <v>21</v>
      </c>
      <c r="L57" s="10">
        <v>44779</v>
      </c>
      <c r="M57" s="9">
        <f t="shared" ca="1" si="1"/>
        <v>3.7527777777777778</v>
      </c>
      <c r="N57" s="9">
        <v>14748</v>
      </c>
      <c r="O57" s="9" t="str">
        <f t="shared" si="2"/>
        <v>أغسطس</v>
      </c>
      <c r="P57" s="7" t="str">
        <f t="shared" si="3"/>
        <v>راتب طبيعي</v>
      </c>
    </row>
    <row r="58" spans="1:16" x14ac:dyDescent="0.3">
      <c r="A58" s="7">
        <v>52862</v>
      </c>
      <c r="B58" s="7" t="s">
        <v>149</v>
      </c>
      <c r="C58" s="7" t="s">
        <v>150</v>
      </c>
      <c r="D58" s="7" t="s">
        <v>53</v>
      </c>
      <c r="E58" s="7" t="s">
        <v>17</v>
      </c>
      <c r="F58" s="8">
        <v>37870</v>
      </c>
      <c r="G58" s="7">
        <f t="shared" ca="1" si="0"/>
        <v>22.669444444444444</v>
      </c>
      <c r="H58" s="7" t="s">
        <v>36</v>
      </c>
      <c r="I58" s="7" t="s">
        <v>25</v>
      </c>
      <c r="J58" s="7" t="s">
        <v>31</v>
      </c>
      <c r="K58" s="7" t="s">
        <v>21</v>
      </c>
      <c r="L58" s="8">
        <v>44780</v>
      </c>
      <c r="M58" s="7">
        <f t="shared" ca="1" si="1"/>
        <v>3.75</v>
      </c>
      <c r="N58" s="7">
        <v>3117</v>
      </c>
      <c r="O58" s="7" t="str">
        <f t="shared" si="2"/>
        <v>أغسطس</v>
      </c>
      <c r="P58" s="7" t="str">
        <f t="shared" si="3"/>
        <v>راتب عالي</v>
      </c>
    </row>
    <row r="59" spans="1:16" x14ac:dyDescent="0.3">
      <c r="A59" s="9">
        <v>56665</v>
      </c>
      <c r="B59" s="9" t="s">
        <v>151</v>
      </c>
      <c r="C59" s="9" t="s">
        <v>152</v>
      </c>
      <c r="D59" s="9" t="s">
        <v>16</v>
      </c>
      <c r="E59" s="9" t="s">
        <v>35</v>
      </c>
      <c r="F59" s="10">
        <v>37656</v>
      </c>
      <c r="G59" s="7">
        <f t="shared" ca="1" si="0"/>
        <v>23.258333333333333</v>
      </c>
      <c r="H59" s="9" t="s">
        <v>18</v>
      </c>
      <c r="I59" s="9" t="s">
        <v>25</v>
      </c>
      <c r="J59" s="9" t="s">
        <v>26</v>
      </c>
      <c r="K59" s="9" t="s">
        <v>21</v>
      </c>
      <c r="L59" s="10">
        <v>44781</v>
      </c>
      <c r="M59" s="9">
        <f t="shared" ca="1" si="1"/>
        <v>3.7472222222222222</v>
      </c>
      <c r="N59" s="9">
        <v>3285</v>
      </c>
      <c r="O59" s="9" t="str">
        <f t="shared" si="2"/>
        <v>أغسطس</v>
      </c>
      <c r="P59" s="7" t="str">
        <f t="shared" si="3"/>
        <v>راتب عالي</v>
      </c>
    </row>
    <row r="60" spans="1:16" x14ac:dyDescent="0.3">
      <c r="A60" s="7">
        <v>55289</v>
      </c>
      <c r="B60" s="7" t="s">
        <v>153</v>
      </c>
      <c r="C60" s="7" t="s">
        <v>154</v>
      </c>
      <c r="D60" s="7" t="s">
        <v>53</v>
      </c>
      <c r="E60" s="7" t="s">
        <v>17</v>
      </c>
      <c r="F60" s="8">
        <v>37920</v>
      </c>
      <c r="G60" s="7">
        <f t="shared" ca="1" si="0"/>
        <v>22.530555555555555</v>
      </c>
      <c r="H60" s="7" t="s">
        <v>18</v>
      </c>
      <c r="I60" s="7" t="s">
        <v>19</v>
      </c>
      <c r="J60" s="7" t="s">
        <v>21</v>
      </c>
      <c r="K60" s="7" t="s">
        <v>21</v>
      </c>
      <c r="L60" s="8">
        <v>44782</v>
      </c>
      <c r="M60" s="7">
        <f t="shared" ca="1" si="1"/>
        <v>3.7444444444444445</v>
      </c>
      <c r="N60" s="7">
        <v>23688</v>
      </c>
      <c r="O60" s="7" t="str">
        <f t="shared" si="2"/>
        <v>أغسطس</v>
      </c>
      <c r="P60" s="7" t="str">
        <f t="shared" si="3"/>
        <v>راتب طبيعي</v>
      </c>
    </row>
    <row r="61" spans="1:16" x14ac:dyDescent="0.3">
      <c r="A61" s="9">
        <v>53633</v>
      </c>
      <c r="B61" s="9" t="s">
        <v>155</v>
      </c>
      <c r="C61" s="9" t="s">
        <v>156</v>
      </c>
      <c r="D61" s="9" t="s">
        <v>34</v>
      </c>
      <c r="E61" s="9" t="s">
        <v>17</v>
      </c>
      <c r="F61" s="10">
        <v>37698</v>
      </c>
      <c r="G61" s="7">
        <f t="shared" ca="1" si="0"/>
        <v>23.136111111111113</v>
      </c>
      <c r="H61" s="9" t="s">
        <v>18</v>
      </c>
      <c r="I61" s="9" t="s">
        <v>19</v>
      </c>
      <c r="J61" s="9" t="s">
        <v>31</v>
      </c>
      <c r="K61" s="9" t="s">
        <v>21</v>
      </c>
      <c r="L61" s="10">
        <v>44783</v>
      </c>
      <c r="M61" s="9">
        <f t="shared" ca="1" si="1"/>
        <v>3.7416666666666667</v>
      </c>
      <c r="N61" s="9">
        <v>28150</v>
      </c>
      <c r="O61" s="9" t="str">
        <f t="shared" si="2"/>
        <v>أغسطس</v>
      </c>
      <c r="P61" s="7" t="str">
        <f t="shared" si="3"/>
        <v>راتب طبيعي</v>
      </c>
    </row>
    <row r="62" spans="1:16" x14ac:dyDescent="0.3">
      <c r="A62" s="7">
        <v>51795</v>
      </c>
      <c r="B62" s="7" t="s">
        <v>157</v>
      </c>
      <c r="C62" s="7" t="s">
        <v>158</v>
      </c>
      <c r="D62" s="7" t="s">
        <v>16</v>
      </c>
      <c r="E62" s="7" t="s">
        <v>35</v>
      </c>
      <c r="F62" s="8">
        <v>37871</v>
      </c>
      <c r="G62" s="7">
        <f t="shared" ca="1" si="0"/>
        <v>22.666666666666668</v>
      </c>
      <c r="H62" s="7" t="s">
        <v>18</v>
      </c>
      <c r="I62" s="7" t="s">
        <v>46</v>
      </c>
      <c r="J62" s="7" t="s">
        <v>20</v>
      </c>
      <c r="K62" s="7" t="s">
        <v>21</v>
      </c>
      <c r="L62" s="8">
        <v>44784</v>
      </c>
      <c r="M62" s="7">
        <f t="shared" ca="1" si="1"/>
        <v>3.7388888888888889</v>
      </c>
      <c r="N62" s="7">
        <v>11623</v>
      </c>
      <c r="O62" s="7" t="str">
        <f t="shared" si="2"/>
        <v>أغسطس</v>
      </c>
      <c r="P62" s="7" t="str">
        <f t="shared" si="3"/>
        <v>راتب طبيعي</v>
      </c>
    </row>
    <row r="63" spans="1:16" x14ac:dyDescent="0.3">
      <c r="A63" s="9">
        <v>59518</v>
      </c>
      <c r="B63" s="9" t="s">
        <v>159</v>
      </c>
      <c r="C63" s="9" t="s">
        <v>160</v>
      </c>
      <c r="D63" s="9" t="s">
        <v>16</v>
      </c>
      <c r="E63" s="9" t="s">
        <v>35</v>
      </c>
      <c r="F63" s="10">
        <v>37714</v>
      </c>
      <c r="G63" s="7">
        <f t="shared" ca="1" si="0"/>
        <v>23.094444444444445</v>
      </c>
      <c r="H63" s="9" t="s">
        <v>36</v>
      </c>
      <c r="I63" s="9" t="s">
        <v>25</v>
      </c>
      <c r="J63" s="9" t="s">
        <v>27</v>
      </c>
      <c r="K63" s="9" t="s">
        <v>21</v>
      </c>
      <c r="L63" s="10">
        <v>44785</v>
      </c>
      <c r="M63" s="9">
        <f t="shared" ca="1" si="1"/>
        <v>3.7361111111111112</v>
      </c>
      <c r="N63" s="9">
        <v>5556</v>
      </c>
      <c r="O63" s="9" t="str">
        <f t="shared" si="2"/>
        <v>أغسطس</v>
      </c>
      <c r="P63" s="7" t="str">
        <f t="shared" si="3"/>
        <v>راتب عالي</v>
      </c>
    </row>
    <row r="64" spans="1:16" x14ac:dyDescent="0.3">
      <c r="A64" s="7">
        <v>56869</v>
      </c>
      <c r="B64" s="7" t="s">
        <v>161</v>
      </c>
      <c r="C64" s="7" t="s">
        <v>162</v>
      </c>
      <c r="D64" s="7" t="s">
        <v>16</v>
      </c>
      <c r="E64" s="7" t="s">
        <v>35</v>
      </c>
      <c r="F64" s="8">
        <v>37722</v>
      </c>
      <c r="G64" s="7">
        <f t="shared" ca="1" si="0"/>
        <v>23.072222222222223</v>
      </c>
      <c r="H64" s="7" t="s">
        <v>18</v>
      </c>
      <c r="I64" s="7" t="s">
        <v>25</v>
      </c>
      <c r="J64" s="7" t="s">
        <v>31</v>
      </c>
      <c r="K64" s="7" t="s">
        <v>21</v>
      </c>
      <c r="L64" s="8">
        <v>44786</v>
      </c>
      <c r="M64" s="7">
        <f t="shared" ca="1" si="1"/>
        <v>3.7333333333333334</v>
      </c>
      <c r="N64" s="7">
        <v>4163</v>
      </c>
      <c r="O64" s="7" t="str">
        <f t="shared" si="2"/>
        <v>أغسطس</v>
      </c>
      <c r="P64" s="7" t="str">
        <f t="shared" si="3"/>
        <v>راتب عالي</v>
      </c>
    </row>
    <row r="65" spans="1:16" x14ac:dyDescent="0.3">
      <c r="A65" s="9">
        <v>52921</v>
      </c>
      <c r="B65" s="9" t="s">
        <v>163</v>
      </c>
      <c r="C65" s="9" t="s">
        <v>164</v>
      </c>
      <c r="D65" s="9" t="s">
        <v>16</v>
      </c>
      <c r="E65" s="9" t="s">
        <v>35</v>
      </c>
      <c r="F65" s="10">
        <v>37806</v>
      </c>
      <c r="G65" s="7">
        <f t="shared" ca="1" si="0"/>
        <v>22.841666666666665</v>
      </c>
      <c r="H65" s="9" t="s">
        <v>36</v>
      </c>
      <c r="I65" s="9" t="s">
        <v>25</v>
      </c>
      <c r="J65" s="9" t="s">
        <v>26</v>
      </c>
      <c r="K65" s="9" t="s">
        <v>21</v>
      </c>
      <c r="L65" s="10">
        <v>44787</v>
      </c>
      <c r="M65" s="9">
        <f t="shared" ca="1" si="1"/>
        <v>3.7305555555555556</v>
      </c>
      <c r="N65" s="9">
        <v>5648</v>
      </c>
      <c r="O65" s="9" t="str">
        <f t="shared" si="2"/>
        <v>أغسطس</v>
      </c>
      <c r="P65" s="7" t="str">
        <f t="shared" si="3"/>
        <v>راتب عالي</v>
      </c>
    </row>
    <row r="66" spans="1:16" x14ac:dyDescent="0.3">
      <c r="A66" s="7">
        <v>51587</v>
      </c>
      <c r="B66" s="7" t="s">
        <v>165</v>
      </c>
      <c r="C66" s="7" t="s">
        <v>166</v>
      </c>
      <c r="D66" s="7" t="s">
        <v>16</v>
      </c>
      <c r="E66" s="7" t="s">
        <v>17</v>
      </c>
      <c r="F66" s="8">
        <v>37979</v>
      </c>
      <c r="G66" s="7">
        <f t="shared" ca="1" si="0"/>
        <v>22.369444444444444</v>
      </c>
      <c r="H66" s="7" t="s">
        <v>36</v>
      </c>
      <c r="I66" s="7" t="s">
        <v>25</v>
      </c>
      <c r="J66" s="7" t="s">
        <v>20</v>
      </c>
      <c r="K66" s="7" t="s">
        <v>21</v>
      </c>
      <c r="L66" s="8">
        <v>44788</v>
      </c>
      <c r="M66" s="7">
        <f t="shared" ca="1" si="1"/>
        <v>3.7277777777777779</v>
      </c>
      <c r="N66" s="7">
        <v>5938</v>
      </c>
      <c r="O66" s="7" t="str">
        <f t="shared" si="2"/>
        <v>أغسطس</v>
      </c>
      <c r="P66" s="7" t="str">
        <f t="shared" si="3"/>
        <v>راتب عالي</v>
      </c>
    </row>
    <row r="67" spans="1:16" x14ac:dyDescent="0.3">
      <c r="A67" s="9">
        <v>59143</v>
      </c>
      <c r="B67" s="9" t="s">
        <v>167</v>
      </c>
      <c r="C67" s="9" t="s">
        <v>168</v>
      </c>
      <c r="D67" s="9" t="s">
        <v>16</v>
      </c>
      <c r="E67" s="9" t="s">
        <v>17</v>
      </c>
      <c r="F67" s="10">
        <v>37943</v>
      </c>
      <c r="G67" s="7">
        <f t="shared" ref="G67:G130" ca="1" si="4">YEARFRAC(F67,TODAY())</f>
        <v>22.469444444444445</v>
      </c>
      <c r="H67" s="9" t="s">
        <v>18</v>
      </c>
      <c r="I67" s="9" t="s">
        <v>25</v>
      </c>
      <c r="J67" s="9" t="s">
        <v>26</v>
      </c>
      <c r="K67" s="9" t="s">
        <v>21</v>
      </c>
      <c r="L67" s="10">
        <v>44789</v>
      </c>
      <c r="M67" s="9">
        <f t="shared" ref="M67:M130" ca="1" si="5">YEARFRAC(L67,TODAY())</f>
        <v>3.7250000000000001</v>
      </c>
      <c r="N67" s="9">
        <v>5555</v>
      </c>
      <c r="O67" s="9" t="str">
        <f t="shared" ref="O67:O130" si="6">TEXT(L67,"mmm")</f>
        <v>أغسطس</v>
      </c>
      <c r="P67" s="7" t="str">
        <f t="shared" ref="P67:P130" si="7">IF(N67&gt;=S$10,"راتب طبيعي","راتب عالي")</f>
        <v>راتب عالي</v>
      </c>
    </row>
    <row r="68" spans="1:16" x14ac:dyDescent="0.3">
      <c r="A68" s="7">
        <v>55294</v>
      </c>
      <c r="B68" s="7" t="s">
        <v>169</v>
      </c>
      <c r="C68" s="7" t="s">
        <v>170</v>
      </c>
      <c r="D68" s="7" t="s">
        <v>40</v>
      </c>
      <c r="E68" s="7" t="s">
        <v>35</v>
      </c>
      <c r="F68" s="8">
        <v>37930</v>
      </c>
      <c r="G68" s="7">
        <f t="shared" ca="1" si="4"/>
        <v>22.505555555555556</v>
      </c>
      <c r="H68" s="7" t="s">
        <v>36</v>
      </c>
      <c r="I68" s="7" t="s">
        <v>25</v>
      </c>
      <c r="J68" s="7" t="s">
        <v>20</v>
      </c>
      <c r="K68" s="7" t="s">
        <v>21</v>
      </c>
      <c r="L68" s="8">
        <v>44790</v>
      </c>
      <c r="M68" s="7">
        <f t="shared" ca="1" si="5"/>
        <v>3.7222222222222223</v>
      </c>
      <c r="N68" s="7">
        <v>5911</v>
      </c>
      <c r="O68" s="7" t="str">
        <f t="shared" si="6"/>
        <v>أغسطس</v>
      </c>
      <c r="P68" s="7" t="str">
        <f t="shared" si="7"/>
        <v>راتب عالي</v>
      </c>
    </row>
    <row r="69" spans="1:16" x14ac:dyDescent="0.3">
      <c r="A69" s="9">
        <v>56261</v>
      </c>
      <c r="B69" s="9" t="s">
        <v>171</v>
      </c>
      <c r="C69" s="9" t="s">
        <v>172</v>
      </c>
      <c r="D69" s="9" t="s">
        <v>43</v>
      </c>
      <c r="E69" s="9" t="s">
        <v>35</v>
      </c>
      <c r="F69" s="10">
        <v>37793</v>
      </c>
      <c r="G69" s="7">
        <f t="shared" ca="1" si="4"/>
        <v>22.877777777777776</v>
      </c>
      <c r="H69" s="9" t="s">
        <v>36</v>
      </c>
      <c r="I69" s="9" t="s">
        <v>25</v>
      </c>
      <c r="J69" s="9" t="s">
        <v>26</v>
      </c>
      <c r="K69" s="9" t="s">
        <v>21</v>
      </c>
      <c r="L69" s="10">
        <v>44791</v>
      </c>
      <c r="M69" s="9">
        <f t="shared" ca="1" si="5"/>
        <v>3.7194444444444446</v>
      </c>
      <c r="N69" s="9">
        <v>6353</v>
      </c>
      <c r="O69" s="9" t="str">
        <f t="shared" si="6"/>
        <v>أغسطس</v>
      </c>
      <c r="P69" s="7" t="str">
        <f t="shared" si="7"/>
        <v>راتب طبيعي</v>
      </c>
    </row>
    <row r="70" spans="1:16" x14ac:dyDescent="0.3">
      <c r="A70" s="7">
        <v>51795</v>
      </c>
      <c r="B70" s="7" t="s">
        <v>173</v>
      </c>
      <c r="C70" s="7" t="s">
        <v>174</v>
      </c>
      <c r="D70" s="7" t="s">
        <v>53</v>
      </c>
      <c r="E70" s="7" t="s">
        <v>35</v>
      </c>
      <c r="F70" s="8">
        <v>37316</v>
      </c>
      <c r="G70" s="7">
        <f t="shared" ca="1" si="4"/>
        <v>24.183333333333334</v>
      </c>
      <c r="H70" s="7" t="s">
        <v>36</v>
      </c>
      <c r="I70" s="7" t="s">
        <v>25</v>
      </c>
      <c r="J70" s="7" t="s">
        <v>31</v>
      </c>
      <c r="K70" s="7" t="s">
        <v>21</v>
      </c>
      <c r="L70" s="8">
        <v>44792</v>
      </c>
      <c r="M70" s="7">
        <f t="shared" ca="1" si="5"/>
        <v>3.7166666666666668</v>
      </c>
      <c r="N70" s="7">
        <v>6435</v>
      </c>
      <c r="O70" s="7" t="str">
        <f t="shared" si="6"/>
        <v>أغسطس</v>
      </c>
      <c r="P70" s="7" t="str">
        <f t="shared" si="7"/>
        <v>راتب طبيعي</v>
      </c>
    </row>
    <row r="71" spans="1:16" x14ac:dyDescent="0.3">
      <c r="A71" s="9">
        <v>53732</v>
      </c>
      <c r="B71" s="9" t="s">
        <v>175</v>
      </c>
      <c r="C71" s="9" t="s">
        <v>176</v>
      </c>
      <c r="D71" s="9" t="s">
        <v>40</v>
      </c>
      <c r="E71" s="9" t="s">
        <v>35</v>
      </c>
      <c r="F71" s="10">
        <v>37331</v>
      </c>
      <c r="G71" s="7">
        <f t="shared" ca="1" si="4"/>
        <v>24.141666666666666</v>
      </c>
      <c r="H71" s="9" t="s">
        <v>18</v>
      </c>
      <c r="I71" s="9" t="s">
        <v>25</v>
      </c>
      <c r="J71" s="9" t="s">
        <v>27</v>
      </c>
      <c r="K71" s="9" t="s">
        <v>21</v>
      </c>
      <c r="L71" s="10">
        <v>44793</v>
      </c>
      <c r="M71" s="9">
        <f t="shared" ca="1" si="5"/>
        <v>3.713888888888889</v>
      </c>
      <c r="N71" s="9">
        <v>6610</v>
      </c>
      <c r="O71" s="9" t="str">
        <f t="shared" si="6"/>
        <v>أغسطس</v>
      </c>
      <c r="P71" s="7" t="str">
        <f t="shared" si="7"/>
        <v>راتب طبيعي</v>
      </c>
    </row>
    <row r="72" spans="1:16" x14ac:dyDescent="0.3">
      <c r="A72" s="7">
        <v>54476</v>
      </c>
      <c r="B72" s="7" t="s">
        <v>177</v>
      </c>
      <c r="C72" s="7" t="s">
        <v>178</v>
      </c>
      <c r="D72" s="7" t="s">
        <v>66</v>
      </c>
      <c r="E72" s="7" t="s">
        <v>17</v>
      </c>
      <c r="F72" s="8">
        <v>37328</v>
      </c>
      <c r="G72" s="7">
        <f t="shared" ca="1" si="4"/>
        <v>24.15</v>
      </c>
      <c r="H72" s="7" t="s">
        <v>18</v>
      </c>
      <c r="I72" s="7" t="s">
        <v>25</v>
      </c>
      <c r="J72" s="7" t="s">
        <v>31</v>
      </c>
      <c r="K72" s="7" t="s">
        <v>21</v>
      </c>
      <c r="L72" s="8">
        <v>44794</v>
      </c>
      <c r="M72" s="7">
        <f t="shared" ca="1" si="5"/>
        <v>3.7111111111111112</v>
      </c>
      <c r="N72" s="7">
        <v>4443</v>
      </c>
      <c r="O72" s="7" t="str">
        <f t="shared" si="6"/>
        <v>أغسطس</v>
      </c>
      <c r="P72" s="7" t="str">
        <f t="shared" si="7"/>
        <v>راتب عالي</v>
      </c>
    </row>
    <row r="73" spans="1:16" x14ac:dyDescent="0.3">
      <c r="A73" s="9">
        <v>50466</v>
      </c>
      <c r="B73" s="9" t="s">
        <v>179</v>
      </c>
      <c r="C73" s="9" t="s">
        <v>180</v>
      </c>
      <c r="D73" s="9" t="s">
        <v>95</v>
      </c>
      <c r="E73" s="9" t="s">
        <v>17</v>
      </c>
      <c r="F73" s="10">
        <v>37281</v>
      </c>
      <c r="G73" s="7">
        <f t="shared" ca="1" si="4"/>
        <v>24.283333333333335</v>
      </c>
      <c r="H73" s="9" t="s">
        <v>18</v>
      </c>
      <c r="I73" s="9" t="s">
        <v>25</v>
      </c>
      <c r="J73" s="9" t="s">
        <v>27</v>
      </c>
      <c r="K73" s="9" t="s">
        <v>21</v>
      </c>
      <c r="L73" s="10">
        <v>44795</v>
      </c>
      <c r="M73" s="9">
        <f t="shared" ca="1" si="5"/>
        <v>3.7083333333333335</v>
      </c>
      <c r="N73" s="9">
        <v>4609</v>
      </c>
      <c r="O73" s="9" t="str">
        <f t="shared" si="6"/>
        <v>أغسطس</v>
      </c>
      <c r="P73" s="7" t="str">
        <f t="shared" si="7"/>
        <v>راتب عالي</v>
      </c>
    </row>
    <row r="74" spans="1:16" x14ac:dyDescent="0.3">
      <c r="A74" s="7">
        <v>58293</v>
      </c>
      <c r="B74" s="7" t="s">
        <v>181</v>
      </c>
      <c r="C74" s="7" t="s">
        <v>182</v>
      </c>
      <c r="D74" s="7" t="s">
        <v>66</v>
      </c>
      <c r="E74" s="7" t="s">
        <v>35</v>
      </c>
      <c r="F74" s="8">
        <v>37309</v>
      </c>
      <c r="G74" s="7">
        <f t="shared" ca="1" si="4"/>
        <v>24.208333333333332</v>
      </c>
      <c r="H74" s="7" t="s">
        <v>18</v>
      </c>
      <c r="I74" s="7" t="s">
        <v>19</v>
      </c>
      <c r="J74" s="7" t="s">
        <v>21</v>
      </c>
      <c r="K74" s="7" t="s">
        <v>21</v>
      </c>
      <c r="L74" s="8">
        <v>44796</v>
      </c>
      <c r="M74" s="7">
        <f t="shared" ca="1" si="5"/>
        <v>3.7055555555555557</v>
      </c>
      <c r="N74" s="7">
        <v>26409</v>
      </c>
      <c r="O74" s="7" t="str">
        <f t="shared" si="6"/>
        <v>أغسطس</v>
      </c>
      <c r="P74" s="7" t="str">
        <f t="shared" si="7"/>
        <v>راتب طبيعي</v>
      </c>
    </row>
    <row r="75" spans="1:16" x14ac:dyDescent="0.3">
      <c r="A75" s="9">
        <v>54013</v>
      </c>
      <c r="B75" s="9" t="s">
        <v>183</v>
      </c>
      <c r="C75" s="9" t="s">
        <v>184</v>
      </c>
      <c r="D75" s="9" t="s">
        <v>95</v>
      </c>
      <c r="E75" s="9" t="s">
        <v>35</v>
      </c>
      <c r="F75" s="10">
        <v>32632</v>
      </c>
      <c r="G75" s="7">
        <f t="shared" ca="1" si="4"/>
        <v>37.008333333333333</v>
      </c>
      <c r="H75" s="9" t="s">
        <v>18</v>
      </c>
      <c r="I75" s="9" t="s">
        <v>25</v>
      </c>
      <c r="J75" s="9" t="s">
        <v>21</v>
      </c>
      <c r="K75" s="9" t="s">
        <v>21</v>
      </c>
      <c r="L75" s="10">
        <v>44797</v>
      </c>
      <c r="M75" s="9">
        <f t="shared" ca="1" si="5"/>
        <v>3.7027777777777779</v>
      </c>
      <c r="N75" s="9">
        <v>4448</v>
      </c>
      <c r="O75" s="9" t="str">
        <f t="shared" si="6"/>
        <v>أغسطس</v>
      </c>
      <c r="P75" s="7" t="str">
        <f t="shared" si="7"/>
        <v>راتب عالي</v>
      </c>
    </row>
    <row r="76" spans="1:16" x14ac:dyDescent="0.3">
      <c r="A76" s="7">
        <v>52424</v>
      </c>
      <c r="B76" s="7" t="s">
        <v>185</v>
      </c>
      <c r="C76" s="7" t="s">
        <v>186</v>
      </c>
      <c r="D76" s="7" t="s">
        <v>146</v>
      </c>
      <c r="E76" s="7" t="s">
        <v>17</v>
      </c>
      <c r="F76" s="8">
        <v>33098</v>
      </c>
      <c r="G76" s="7">
        <f t="shared" ca="1" si="4"/>
        <v>35.733333333333334</v>
      </c>
      <c r="H76" s="7" t="s">
        <v>36</v>
      </c>
      <c r="I76" s="7" t="s">
        <v>25</v>
      </c>
      <c r="J76" s="7" t="s">
        <v>26</v>
      </c>
      <c r="K76" s="7" t="s">
        <v>21</v>
      </c>
      <c r="L76" s="8">
        <v>44798</v>
      </c>
      <c r="M76" s="7">
        <f t="shared" ca="1" si="5"/>
        <v>3.7</v>
      </c>
      <c r="N76" s="7">
        <v>5258</v>
      </c>
      <c r="O76" s="7" t="str">
        <f t="shared" si="6"/>
        <v>أغسطس</v>
      </c>
      <c r="P76" s="7" t="str">
        <f t="shared" si="7"/>
        <v>راتب عالي</v>
      </c>
    </row>
    <row r="77" spans="1:16" x14ac:dyDescent="0.3">
      <c r="A77" s="9">
        <v>54970</v>
      </c>
      <c r="B77" s="9" t="s">
        <v>187</v>
      </c>
      <c r="C77" s="9" t="s">
        <v>188</v>
      </c>
      <c r="D77" s="9" t="s">
        <v>34</v>
      </c>
      <c r="E77" s="9" t="s">
        <v>17</v>
      </c>
      <c r="F77" s="10">
        <v>36953</v>
      </c>
      <c r="G77" s="7">
        <f t="shared" ca="1" si="4"/>
        <v>25.177777777777777</v>
      </c>
      <c r="H77" s="9" t="s">
        <v>36</v>
      </c>
      <c r="I77" s="9" t="s">
        <v>25</v>
      </c>
      <c r="J77" s="9" t="s">
        <v>20</v>
      </c>
      <c r="K77" s="9" t="s">
        <v>21</v>
      </c>
      <c r="L77" s="10">
        <v>44799</v>
      </c>
      <c r="M77" s="9">
        <f t="shared" ca="1" si="5"/>
        <v>3.6972222222222224</v>
      </c>
      <c r="N77" s="9">
        <v>6638</v>
      </c>
      <c r="O77" s="9" t="str">
        <f t="shared" si="6"/>
        <v>أغسطس</v>
      </c>
      <c r="P77" s="7" t="str">
        <f t="shared" si="7"/>
        <v>راتب طبيعي</v>
      </c>
    </row>
    <row r="78" spans="1:16" x14ac:dyDescent="0.3">
      <c r="A78" s="7">
        <v>51545</v>
      </c>
      <c r="B78" s="7" t="s">
        <v>189</v>
      </c>
      <c r="C78" s="7" t="s">
        <v>190</v>
      </c>
      <c r="D78" s="7" t="s">
        <v>16</v>
      </c>
      <c r="E78" s="7" t="s">
        <v>17</v>
      </c>
      <c r="F78" s="8">
        <v>32223</v>
      </c>
      <c r="G78" s="7">
        <f t="shared" ca="1" si="4"/>
        <v>38.12777777777778</v>
      </c>
      <c r="H78" s="7" t="s">
        <v>36</v>
      </c>
      <c r="I78" s="7" t="s">
        <v>25</v>
      </c>
      <c r="J78" s="7" t="s">
        <v>31</v>
      </c>
      <c r="K78" s="7" t="s">
        <v>21</v>
      </c>
      <c r="L78" s="8">
        <v>44800</v>
      </c>
      <c r="M78" s="7">
        <f t="shared" ca="1" si="5"/>
        <v>3.6944444444444446</v>
      </c>
      <c r="N78" s="7">
        <v>4351</v>
      </c>
      <c r="O78" s="7" t="str">
        <f t="shared" si="6"/>
        <v>أغسطس</v>
      </c>
      <c r="P78" s="7" t="str">
        <f t="shared" si="7"/>
        <v>راتب عالي</v>
      </c>
    </row>
    <row r="79" spans="1:16" x14ac:dyDescent="0.3">
      <c r="A79" s="9">
        <v>51441</v>
      </c>
      <c r="B79" s="9" t="s">
        <v>191</v>
      </c>
      <c r="C79" s="9" t="s">
        <v>192</v>
      </c>
      <c r="D79" s="9" t="s">
        <v>40</v>
      </c>
      <c r="E79" s="9" t="s">
        <v>17</v>
      </c>
      <c r="F79" s="10">
        <v>36565</v>
      </c>
      <c r="G79" s="7">
        <f t="shared" ca="1" si="4"/>
        <v>26.244444444444444</v>
      </c>
      <c r="H79" s="9" t="s">
        <v>18</v>
      </c>
      <c r="I79" s="9" t="s">
        <v>25</v>
      </c>
      <c r="J79" s="9" t="s">
        <v>26</v>
      </c>
      <c r="K79" s="9" t="s">
        <v>21</v>
      </c>
      <c r="L79" s="10">
        <v>44801</v>
      </c>
      <c r="M79" s="9">
        <f t="shared" ca="1" si="5"/>
        <v>3.6916666666666669</v>
      </c>
      <c r="N79" s="9">
        <v>5860</v>
      </c>
      <c r="O79" s="9" t="str">
        <f t="shared" si="6"/>
        <v>أغسطس</v>
      </c>
      <c r="P79" s="7" t="str">
        <f t="shared" si="7"/>
        <v>راتب عالي</v>
      </c>
    </row>
    <row r="80" spans="1:16" x14ac:dyDescent="0.3">
      <c r="A80" s="7">
        <v>54150</v>
      </c>
      <c r="B80" s="7" t="s">
        <v>193</v>
      </c>
      <c r="C80" s="7" t="s">
        <v>194</v>
      </c>
      <c r="D80" s="7" t="s">
        <v>16</v>
      </c>
      <c r="E80" s="7" t="s">
        <v>17</v>
      </c>
      <c r="F80" s="8">
        <v>35547</v>
      </c>
      <c r="G80" s="7">
        <f t="shared" ca="1" si="4"/>
        <v>29.027777777777779</v>
      </c>
      <c r="H80" s="7" t="s">
        <v>18</v>
      </c>
      <c r="I80" s="7" t="s">
        <v>46</v>
      </c>
      <c r="J80" s="7" t="s">
        <v>20</v>
      </c>
      <c r="K80" s="7" t="s">
        <v>21</v>
      </c>
      <c r="L80" s="8">
        <v>44802</v>
      </c>
      <c r="M80" s="7">
        <f t="shared" ca="1" si="5"/>
        <v>3.6888888888888891</v>
      </c>
      <c r="N80" s="7">
        <v>12427</v>
      </c>
      <c r="O80" s="7" t="str">
        <f t="shared" si="6"/>
        <v>أغسطس</v>
      </c>
      <c r="P80" s="7" t="str">
        <f t="shared" si="7"/>
        <v>راتب طبيعي</v>
      </c>
    </row>
    <row r="81" spans="1:16" x14ac:dyDescent="0.3">
      <c r="A81" s="9">
        <v>52186</v>
      </c>
      <c r="B81" s="9" t="s">
        <v>195</v>
      </c>
      <c r="C81" s="9" t="s">
        <v>196</v>
      </c>
      <c r="D81" s="9" t="s">
        <v>16</v>
      </c>
      <c r="E81" s="9" t="s">
        <v>17</v>
      </c>
      <c r="F81" s="10">
        <v>32568</v>
      </c>
      <c r="G81" s="7">
        <f t="shared" ca="1" si="4"/>
        <v>37.18333333333333</v>
      </c>
      <c r="H81" s="9" t="s">
        <v>36</v>
      </c>
      <c r="I81" s="9" t="s">
        <v>46</v>
      </c>
      <c r="J81" s="9" t="s">
        <v>27</v>
      </c>
      <c r="K81" s="9" t="s">
        <v>21</v>
      </c>
      <c r="L81" s="10">
        <v>44803</v>
      </c>
      <c r="M81" s="9">
        <f t="shared" ca="1" si="5"/>
        <v>3.6861111111111109</v>
      </c>
      <c r="N81" s="9">
        <v>14070</v>
      </c>
      <c r="O81" s="9" t="str">
        <f t="shared" si="6"/>
        <v>أغسطس</v>
      </c>
      <c r="P81" s="7" t="str">
        <f t="shared" si="7"/>
        <v>راتب طبيعي</v>
      </c>
    </row>
    <row r="82" spans="1:16" x14ac:dyDescent="0.3">
      <c r="A82" s="7">
        <v>56858</v>
      </c>
      <c r="B82" s="7" t="s">
        <v>197</v>
      </c>
      <c r="C82" s="7" t="s">
        <v>198</v>
      </c>
      <c r="D82" s="7" t="s">
        <v>16</v>
      </c>
      <c r="E82" s="7" t="s">
        <v>35</v>
      </c>
      <c r="F82" s="8">
        <v>32968</v>
      </c>
      <c r="G82" s="7">
        <f t="shared" ca="1" si="4"/>
        <v>36.088888888888889</v>
      </c>
      <c r="H82" s="7" t="s">
        <v>36</v>
      </c>
      <c r="I82" s="7" t="s">
        <v>25</v>
      </c>
      <c r="J82" s="7" t="s">
        <v>31</v>
      </c>
      <c r="K82" s="7" t="s">
        <v>21</v>
      </c>
      <c r="L82" s="8">
        <v>44804</v>
      </c>
      <c r="M82" s="7">
        <f t="shared" ca="1" si="5"/>
        <v>3.6861111111111109</v>
      </c>
      <c r="N82" s="7">
        <v>6359</v>
      </c>
      <c r="O82" s="7" t="str">
        <f t="shared" si="6"/>
        <v>أغسطس</v>
      </c>
      <c r="P82" s="7" t="str">
        <f t="shared" si="7"/>
        <v>راتب طبيعي</v>
      </c>
    </row>
    <row r="83" spans="1:16" x14ac:dyDescent="0.3">
      <c r="A83" s="9">
        <v>57574</v>
      </c>
      <c r="B83" s="9" t="s">
        <v>199</v>
      </c>
      <c r="C83" s="9" t="s">
        <v>200</v>
      </c>
      <c r="D83" s="9" t="s">
        <v>16</v>
      </c>
      <c r="E83" s="9" t="s">
        <v>35</v>
      </c>
      <c r="F83" s="10">
        <v>32832</v>
      </c>
      <c r="G83" s="7">
        <f t="shared" ca="1" si="4"/>
        <v>36.463888888888889</v>
      </c>
      <c r="H83" s="9" t="s">
        <v>36</v>
      </c>
      <c r="I83" s="9" t="s">
        <v>46</v>
      </c>
      <c r="J83" s="9" t="s">
        <v>21</v>
      </c>
      <c r="K83" s="9" t="s">
        <v>21</v>
      </c>
      <c r="L83" s="10">
        <v>44805</v>
      </c>
      <c r="M83" s="9">
        <f t="shared" ca="1" si="5"/>
        <v>3.6833333333333331</v>
      </c>
      <c r="N83" s="9">
        <v>14324</v>
      </c>
      <c r="O83" s="9" t="str">
        <f t="shared" si="6"/>
        <v>سبتمبر</v>
      </c>
      <c r="P83" s="7" t="str">
        <f t="shared" si="7"/>
        <v>راتب طبيعي</v>
      </c>
    </row>
    <row r="84" spans="1:16" x14ac:dyDescent="0.3">
      <c r="A84" s="7">
        <v>53166</v>
      </c>
      <c r="B84" s="7" t="s">
        <v>201</v>
      </c>
      <c r="C84" s="7" t="s">
        <v>202</v>
      </c>
      <c r="D84" s="7" t="s">
        <v>16</v>
      </c>
      <c r="E84" s="7" t="s">
        <v>35</v>
      </c>
      <c r="F84" s="8">
        <v>37088</v>
      </c>
      <c r="G84" s="7">
        <f t="shared" ca="1" si="4"/>
        <v>24.808333333333334</v>
      </c>
      <c r="H84" s="7" t="s">
        <v>36</v>
      </c>
      <c r="I84" s="7" t="s">
        <v>19</v>
      </c>
      <c r="J84" s="7" t="s">
        <v>20</v>
      </c>
      <c r="K84" s="7" t="s">
        <v>21</v>
      </c>
      <c r="L84" s="8">
        <v>44806</v>
      </c>
      <c r="M84" s="7">
        <f t="shared" ca="1" si="5"/>
        <v>3.6805555555555554</v>
      </c>
      <c r="N84" s="7">
        <v>26027</v>
      </c>
      <c r="O84" s="7" t="str">
        <f t="shared" si="6"/>
        <v>سبتمبر</v>
      </c>
      <c r="P84" s="7" t="str">
        <f t="shared" si="7"/>
        <v>راتب طبيعي</v>
      </c>
    </row>
    <row r="85" spans="1:16" x14ac:dyDescent="0.3">
      <c r="A85" s="9">
        <v>57932</v>
      </c>
      <c r="B85" s="9" t="s">
        <v>203</v>
      </c>
      <c r="C85" s="9" t="s">
        <v>204</v>
      </c>
      <c r="D85" s="9" t="s">
        <v>40</v>
      </c>
      <c r="E85" s="9" t="s">
        <v>35</v>
      </c>
      <c r="F85" s="10">
        <v>35603</v>
      </c>
      <c r="G85" s="7">
        <f t="shared" ca="1" si="4"/>
        <v>28.875</v>
      </c>
      <c r="H85" s="9" t="s">
        <v>18</v>
      </c>
      <c r="I85" s="9" t="s">
        <v>25</v>
      </c>
      <c r="J85" s="9" t="s">
        <v>21</v>
      </c>
      <c r="K85" s="9" t="s">
        <v>21</v>
      </c>
      <c r="L85" s="10">
        <v>44807</v>
      </c>
      <c r="M85" s="9">
        <f t="shared" ca="1" si="5"/>
        <v>3.6777777777777776</v>
      </c>
      <c r="N85" s="9">
        <v>4411</v>
      </c>
      <c r="O85" s="9" t="str">
        <f t="shared" si="6"/>
        <v>سبتمبر</v>
      </c>
      <c r="P85" s="7" t="str">
        <f t="shared" si="7"/>
        <v>راتب عالي</v>
      </c>
    </row>
    <row r="86" spans="1:16" x14ac:dyDescent="0.3">
      <c r="A86" s="7">
        <v>52196</v>
      </c>
      <c r="B86" s="7" t="s">
        <v>205</v>
      </c>
      <c r="C86" s="7" t="s">
        <v>206</v>
      </c>
      <c r="D86" s="7" t="s">
        <v>40</v>
      </c>
      <c r="E86" s="7" t="s">
        <v>17</v>
      </c>
      <c r="F86" s="8">
        <v>37919</v>
      </c>
      <c r="G86" s="7">
        <f t="shared" ca="1" si="4"/>
        <v>22.533333333333335</v>
      </c>
      <c r="H86" s="7" t="s">
        <v>18</v>
      </c>
      <c r="I86" s="7" t="s">
        <v>25</v>
      </c>
      <c r="J86" s="7" t="s">
        <v>26</v>
      </c>
      <c r="K86" s="7" t="s">
        <v>21</v>
      </c>
      <c r="L86" s="8">
        <v>44808</v>
      </c>
      <c r="M86" s="7">
        <f t="shared" ca="1" si="5"/>
        <v>3.6749999999999998</v>
      </c>
      <c r="N86" s="7">
        <v>3312</v>
      </c>
      <c r="O86" s="7" t="str">
        <f t="shared" si="6"/>
        <v>سبتمبر</v>
      </c>
      <c r="P86" s="7" t="str">
        <f t="shared" si="7"/>
        <v>راتب عالي</v>
      </c>
    </row>
    <row r="87" spans="1:16" x14ac:dyDescent="0.3">
      <c r="A87" s="9">
        <v>52870</v>
      </c>
      <c r="B87" s="9" t="s">
        <v>207</v>
      </c>
      <c r="C87" s="9" t="s">
        <v>208</v>
      </c>
      <c r="D87" s="9" t="s">
        <v>53</v>
      </c>
      <c r="E87" s="9" t="s">
        <v>35</v>
      </c>
      <c r="F87" s="10">
        <v>37743</v>
      </c>
      <c r="G87" s="7">
        <f t="shared" ca="1" si="4"/>
        <v>23.013888888888889</v>
      </c>
      <c r="H87" s="9" t="s">
        <v>18</v>
      </c>
      <c r="I87" s="9" t="s">
        <v>46</v>
      </c>
      <c r="J87" s="9" t="s">
        <v>21</v>
      </c>
      <c r="K87" s="9" t="s">
        <v>21</v>
      </c>
      <c r="L87" s="10">
        <v>44809</v>
      </c>
      <c r="M87" s="9">
        <f t="shared" ca="1" si="5"/>
        <v>3.6722222222222221</v>
      </c>
      <c r="N87" s="9">
        <v>11821</v>
      </c>
      <c r="O87" s="9" t="str">
        <f t="shared" si="6"/>
        <v>سبتمبر</v>
      </c>
      <c r="P87" s="7" t="str">
        <f t="shared" si="7"/>
        <v>راتب طبيعي</v>
      </c>
    </row>
    <row r="88" spans="1:16" x14ac:dyDescent="0.3">
      <c r="A88" s="7">
        <v>59943</v>
      </c>
      <c r="B88" s="7" t="s">
        <v>209</v>
      </c>
      <c r="C88" s="7" t="s">
        <v>210</v>
      </c>
      <c r="D88" s="7" t="s">
        <v>95</v>
      </c>
      <c r="E88" s="7" t="s">
        <v>17</v>
      </c>
      <c r="F88" s="8">
        <v>37694</v>
      </c>
      <c r="G88" s="7">
        <f t="shared" ca="1" si="4"/>
        <v>23.147222222222222</v>
      </c>
      <c r="H88" s="7" t="s">
        <v>18</v>
      </c>
      <c r="I88" s="7" t="s">
        <v>25</v>
      </c>
      <c r="J88" s="7" t="s">
        <v>21</v>
      </c>
      <c r="K88" s="7" t="s">
        <v>21</v>
      </c>
      <c r="L88" s="8">
        <v>44810</v>
      </c>
      <c r="M88" s="7">
        <f t="shared" ca="1" si="5"/>
        <v>3.6694444444444443</v>
      </c>
      <c r="N88" s="7">
        <v>6153</v>
      </c>
      <c r="O88" s="7" t="str">
        <f t="shared" si="6"/>
        <v>سبتمبر</v>
      </c>
      <c r="P88" s="7" t="str">
        <f t="shared" si="7"/>
        <v>راتب طبيعي</v>
      </c>
    </row>
    <row r="89" spans="1:16" x14ac:dyDescent="0.3">
      <c r="A89" s="9">
        <v>57922</v>
      </c>
      <c r="B89" s="9" t="s">
        <v>211</v>
      </c>
      <c r="C89" s="9" t="s">
        <v>212</v>
      </c>
      <c r="D89" s="9" t="s">
        <v>66</v>
      </c>
      <c r="E89" s="9" t="s">
        <v>35</v>
      </c>
      <c r="F89" s="10">
        <v>37887</v>
      </c>
      <c r="G89" s="7">
        <f t="shared" ca="1" si="4"/>
        <v>22.622222222222224</v>
      </c>
      <c r="H89" s="9" t="s">
        <v>18</v>
      </c>
      <c r="I89" s="9" t="s">
        <v>19</v>
      </c>
      <c r="J89" s="9" t="s">
        <v>26</v>
      </c>
      <c r="K89" s="9" t="s">
        <v>21</v>
      </c>
      <c r="L89" s="10">
        <v>44811</v>
      </c>
      <c r="M89" s="9">
        <f t="shared" ca="1" si="5"/>
        <v>3.6666666666666665</v>
      </c>
      <c r="N89" s="9">
        <v>15652</v>
      </c>
      <c r="O89" s="9" t="str">
        <f t="shared" si="6"/>
        <v>سبتمبر</v>
      </c>
      <c r="P89" s="7" t="str">
        <f t="shared" si="7"/>
        <v>راتب طبيعي</v>
      </c>
    </row>
    <row r="90" spans="1:16" x14ac:dyDescent="0.3">
      <c r="A90" s="7">
        <v>55362</v>
      </c>
      <c r="B90" s="7" t="s">
        <v>213</v>
      </c>
      <c r="C90" s="7" t="s">
        <v>214</v>
      </c>
      <c r="D90" s="7" t="s">
        <v>43</v>
      </c>
      <c r="E90" s="7" t="s">
        <v>35</v>
      </c>
      <c r="F90" s="8">
        <v>37981</v>
      </c>
      <c r="G90" s="7">
        <f t="shared" ca="1" si="4"/>
        <v>22.363888888888887</v>
      </c>
      <c r="H90" s="7" t="s">
        <v>36</v>
      </c>
      <c r="I90" s="7" t="s">
        <v>25</v>
      </c>
      <c r="J90" s="7" t="s">
        <v>21</v>
      </c>
      <c r="K90" s="7" t="s">
        <v>21</v>
      </c>
      <c r="L90" s="8">
        <v>44812</v>
      </c>
      <c r="M90" s="7">
        <f t="shared" ca="1" si="5"/>
        <v>3.6638888888888888</v>
      </c>
      <c r="N90" s="7">
        <v>3459</v>
      </c>
      <c r="O90" s="7" t="str">
        <f t="shared" si="6"/>
        <v>سبتمبر</v>
      </c>
      <c r="P90" s="7" t="str">
        <f t="shared" si="7"/>
        <v>راتب عالي</v>
      </c>
    </row>
    <row r="91" spans="1:16" x14ac:dyDescent="0.3">
      <c r="A91" s="9">
        <v>51266</v>
      </c>
      <c r="B91" s="9" t="s">
        <v>215</v>
      </c>
      <c r="C91" s="9" t="s">
        <v>216</v>
      </c>
      <c r="D91" s="9" t="s">
        <v>30</v>
      </c>
      <c r="E91" s="9" t="s">
        <v>17</v>
      </c>
      <c r="F91" s="10">
        <v>37634</v>
      </c>
      <c r="G91" s="7">
        <f t="shared" ca="1" si="4"/>
        <v>23.316666666666666</v>
      </c>
      <c r="H91" s="9" t="s">
        <v>36</v>
      </c>
      <c r="I91" s="9" t="s">
        <v>25</v>
      </c>
      <c r="J91" s="9" t="s">
        <v>20</v>
      </c>
      <c r="K91" s="9" t="s">
        <v>21</v>
      </c>
      <c r="L91" s="10">
        <v>44813</v>
      </c>
      <c r="M91" s="9">
        <f t="shared" ca="1" si="5"/>
        <v>3.661111111111111</v>
      </c>
      <c r="N91" s="9">
        <v>4017</v>
      </c>
      <c r="O91" s="9" t="str">
        <f t="shared" si="6"/>
        <v>سبتمبر</v>
      </c>
      <c r="P91" s="7" t="str">
        <f t="shared" si="7"/>
        <v>راتب عالي</v>
      </c>
    </row>
    <row r="92" spans="1:16" x14ac:dyDescent="0.3">
      <c r="A92" s="7">
        <v>56095</v>
      </c>
      <c r="B92" s="7" t="s">
        <v>217</v>
      </c>
      <c r="C92" s="7" t="s">
        <v>218</v>
      </c>
      <c r="D92" s="7" t="s">
        <v>53</v>
      </c>
      <c r="E92" s="7" t="s">
        <v>17</v>
      </c>
      <c r="F92" s="8">
        <v>37961</v>
      </c>
      <c r="G92" s="7">
        <f t="shared" ca="1" si="4"/>
        <v>22.419444444444444</v>
      </c>
      <c r="H92" s="7" t="s">
        <v>36</v>
      </c>
      <c r="I92" s="7" t="s">
        <v>25</v>
      </c>
      <c r="J92" s="7" t="s">
        <v>21</v>
      </c>
      <c r="K92" s="7" t="s">
        <v>21</v>
      </c>
      <c r="L92" s="8">
        <v>44814</v>
      </c>
      <c r="M92" s="7">
        <f t="shared" ca="1" si="5"/>
        <v>3.6583333333333332</v>
      </c>
      <c r="N92" s="7">
        <v>3737</v>
      </c>
      <c r="O92" s="7" t="str">
        <f t="shared" si="6"/>
        <v>سبتمبر</v>
      </c>
      <c r="P92" s="7" t="str">
        <f t="shared" si="7"/>
        <v>راتب عالي</v>
      </c>
    </row>
    <row r="93" spans="1:16" x14ac:dyDescent="0.3">
      <c r="A93" s="9">
        <v>50869</v>
      </c>
      <c r="B93" s="9" t="s">
        <v>219</v>
      </c>
      <c r="C93" s="9" t="s">
        <v>220</v>
      </c>
      <c r="D93" s="9" t="s">
        <v>16</v>
      </c>
      <c r="E93" s="9" t="s">
        <v>17</v>
      </c>
      <c r="F93" s="10">
        <v>37917</v>
      </c>
      <c r="G93" s="7">
        <f t="shared" ca="1" si="4"/>
        <v>22.538888888888888</v>
      </c>
      <c r="H93" s="9" t="s">
        <v>18</v>
      </c>
      <c r="I93" s="9" t="s">
        <v>25</v>
      </c>
      <c r="J93" s="9" t="s">
        <v>21</v>
      </c>
      <c r="K93" s="9" t="s">
        <v>21</v>
      </c>
      <c r="L93" s="10">
        <v>44815</v>
      </c>
      <c r="M93" s="9">
        <f t="shared" ca="1" si="5"/>
        <v>3.6555555555555554</v>
      </c>
      <c r="N93" s="9">
        <v>4870</v>
      </c>
      <c r="O93" s="9" t="str">
        <f t="shared" si="6"/>
        <v>سبتمبر</v>
      </c>
      <c r="P93" s="7" t="str">
        <f t="shared" si="7"/>
        <v>راتب عالي</v>
      </c>
    </row>
    <row r="94" spans="1:16" x14ac:dyDescent="0.3">
      <c r="A94" s="7">
        <v>58979</v>
      </c>
      <c r="B94" s="7" t="s">
        <v>221</v>
      </c>
      <c r="C94" s="7" t="s">
        <v>222</v>
      </c>
      <c r="D94" s="7" t="s">
        <v>16</v>
      </c>
      <c r="E94" s="7" t="s">
        <v>17</v>
      </c>
      <c r="F94" s="8">
        <v>37980</v>
      </c>
      <c r="G94" s="7">
        <f t="shared" ca="1" si="4"/>
        <v>22.366666666666667</v>
      </c>
      <c r="H94" s="7" t="s">
        <v>18</v>
      </c>
      <c r="I94" s="7" t="s">
        <v>46</v>
      </c>
      <c r="J94" s="7" t="s">
        <v>27</v>
      </c>
      <c r="K94" s="7" t="s">
        <v>21</v>
      </c>
      <c r="L94" s="8">
        <v>44816</v>
      </c>
      <c r="M94" s="7">
        <f t="shared" ca="1" si="5"/>
        <v>3.6527777777777777</v>
      </c>
      <c r="N94" s="7">
        <v>10285</v>
      </c>
      <c r="O94" s="7" t="str">
        <f t="shared" si="6"/>
        <v>سبتمبر</v>
      </c>
      <c r="P94" s="7" t="str">
        <f t="shared" si="7"/>
        <v>راتب طبيعي</v>
      </c>
    </row>
    <row r="95" spans="1:16" x14ac:dyDescent="0.3">
      <c r="A95" s="9">
        <v>51514</v>
      </c>
      <c r="B95" s="9" t="s">
        <v>223</v>
      </c>
      <c r="C95" s="9" t="s">
        <v>224</v>
      </c>
      <c r="D95" s="9" t="s">
        <v>16</v>
      </c>
      <c r="E95" s="9" t="s">
        <v>17</v>
      </c>
      <c r="F95" s="10">
        <v>37912</v>
      </c>
      <c r="G95" s="7">
        <f t="shared" ca="1" si="4"/>
        <v>22.552777777777777</v>
      </c>
      <c r="H95" s="9" t="s">
        <v>36</v>
      </c>
      <c r="I95" s="9" t="s">
        <v>25</v>
      </c>
      <c r="J95" s="9" t="s">
        <v>20</v>
      </c>
      <c r="K95" s="9" t="s">
        <v>21</v>
      </c>
      <c r="L95" s="10">
        <v>44817</v>
      </c>
      <c r="M95" s="9">
        <f t="shared" ca="1" si="5"/>
        <v>3.65</v>
      </c>
      <c r="N95" s="9">
        <v>5829</v>
      </c>
      <c r="O95" s="9" t="str">
        <f t="shared" si="6"/>
        <v>سبتمبر</v>
      </c>
      <c r="P95" s="7" t="str">
        <f t="shared" si="7"/>
        <v>راتب عالي</v>
      </c>
    </row>
    <row r="96" spans="1:16" x14ac:dyDescent="0.3">
      <c r="A96" s="7">
        <v>51831</v>
      </c>
      <c r="B96" s="7" t="s">
        <v>225</v>
      </c>
      <c r="C96" s="7" t="s">
        <v>226</v>
      </c>
      <c r="D96" s="7" t="s">
        <v>16</v>
      </c>
      <c r="E96" s="7" t="s">
        <v>35</v>
      </c>
      <c r="F96" s="8">
        <v>37835</v>
      </c>
      <c r="G96" s="7">
        <f t="shared" ca="1" si="4"/>
        <v>22.763888888888889</v>
      </c>
      <c r="H96" s="7" t="s">
        <v>18</v>
      </c>
      <c r="I96" s="7" t="s">
        <v>25</v>
      </c>
      <c r="J96" s="7" t="s">
        <v>21</v>
      </c>
      <c r="K96" s="7" t="s">
        <v>21</v>
      </c>
      <c r="L96" s="8">
        <v>44818</v>
      </c>
      <c r="M96" s="7">
        <f t="shared" ca="1" si="5"/>
        <v>3.6472222222222221</v>
      </c>
      <c r="N96" s="7">
        <v>4672</v>
      </c>
      <c r="O96" s="7" t="str">
        <f t="shared" si="6"/>
        <v>سبتمبر</v>
      </c>
      <c r="P96" s="7" t="str">
        <f t="shared" si="7"/>
        <v>راتب عالي</v>
      </c>
    </row>
    <row r="97" spans="1:16" x14ac:dyDescent="0.3">
      <c r="A97" s="9">
        <v>58864</v>
      </c>
      <c r="B97" s="9" t="s">
        <v>227</v>
      </c>
      <c r="C97" s="9" t="s">
        <v>228</v>
      </c>
      <c r="D97" s="9" t="s">
        <v>16</v>
      </c>
      <c r="E97" s="9" t="s">
        <v>35</v>
      </c>
      <c r="F97" s="10">
        <v>37815</v>
      </c>
      <c r="G97" s="7">
        <f t="shared" ca="1" si="4"/>
        <v>22.816666666666666</v>
      </c>
      <c r="H97" s="9" t="s">
        <v>36</v>
      </c>
      <c r="I97" s="9" t="s">
        <v>25</v>
      </c>
      <c r="J97" s="9" t="s">
        <v>31</v>
      </c>
      <c r="K97" s="9" t="s">
        <v>21</v>
      </c>
      <c r="L97" s="10">
        <v>44819</v>
      </c>
      <c r="M97" s="9">
        <f t="shared" ca="1" si="5"/>
        <v>3.6444444444444444</v>
      </c>
      <c r="N97" s="9">
        <v>6580</v>
      </c>
      <c r="O97" s="9" t="str">
        <f t="shared" si="6"/>
        <v>سبتمبر</v>
      </c>
      <c r="P97" s="7" t="str">
        <f t="shared" si="7"/>
        <v>راتب طبيعي</v>
      </c>
    </row>
    <row r="98" spans="1:16" x14ac:dyDescent="0.3">
      <c r="A98" s="7">
        <v>52227</v>
      </c>
      <c r="B98" s="7" t="s">
        <v>229</v>
      </c>
      <c r="C98" s="7" t="s">
        <v>230</v>
      </c>
      <c r="D98" s="7" t="s">
        <v>43</v>
      </c>
      <c r="E98" s="7" t="s">
        <v>17</v>
      </c>
      <c r="F98" s="8">
        <v>37768</v>
      </c>
      <c r="G98" s="7">
        <f t="shared" ca="1" si="4"/>
        <v>22.944444444444443</v>
      </c>
      <c r="H98" s="7" t="s">
        <v>18</v>
      </c>
      <c r="I98" s="7" t="s">
        <v>25</v>
      </c>
      <c r="J98" s="7" t="s">
        <v>27</v>
      </c>
      <c r="K98" s="7" t="s">
        <v>21</v>
      </c>
      <c r="L98" s="8">
        <v>44820</v>
      </c>
      <c r="M98" s="7">
        <f t="shared" ca="1" si="5"/>
        <v>3.6416666666666666</v>
      </c>
      <c r="N98" s="7">
        <v>5710</v>
      </c>
      <c r="O98" s="7" t="str">
        <f t="shared" si="6"/>
        <v>سبتمبر</v>
      </c>
      <c r="P98" s="7" t="str">
        <f t="shared" si="7"/>
        <v>راتب عالي</v>
      </c>
    </row>
    <row r="99" spans="1:16" x14ac:dyDescent="0.3">
      <c r="A99" s="9">
        <v>50196</v>
      </c>
      <c r="B99" s="9" t="s">
        <v>231</v>
      </c>
      <c r="C99" s="9" t="s">
        <v>232</v>
      </c>
      <c r="D99" s="9" t="s">
        <v>30</v>
      </c>
      <c r="E99" s="9" t="s">
        <v>17</v>
      </c>
      <c r="F99" s="10">
        <v>37625</v>
      </c>
      <c r="G99" s="7">
        <f t="shared" ca="1" si="4"/>
        <v>23.341666666666665</v>
      </c>
      <c r="H99" s="9" t="s">
        <v>18</v>
      </c>
      <c r="I99" s="9" t="s">
        <v>19</v>
      </c>
      <c r="J99" s="9" t="s">
        <v>27</v>
      </c>
      <c r="K99" s="9" t="s">
        <v>21</v>
      </c>
      <c r="L99" s="10">
        <v>44821</v>
      </c>
      <c r="M99" s="9">
        <f t="shared" ca="1" si="5"/>
        <v>3.6388888888888888</v>
      </c>
      <c r="N99" s="9">
        <v>15411</v>
      </c>
      <c r="O99" s="9" t="str">
        <f t="shared" si="6"/>
        <v>سبتمبر</v>
      </c>
      <c r="P99" s="7" t="str">
        <f t="shared" si="7"/>
        <v>راتب طبيعي</v>
      </c>
    </row>
    <row r="100" spans="1:16" x14ac:dyDescent="0.3">
      <c r="A100" s="7">
        <v>50308</v>
      </c>
      <c r="B100" s="7" t="s">
        <v>233</v>
      </c>
      <c r="C100" s="7" t="s">
        <v>234</v>
      </c>
      <c r="D100" s="7" t="s">
        <v>40</v>
      </c>
      <c r="E100" s="7" t="s">
        <v>35</v>
      </c>
      <c r="F100" s="8">
        <v>37627</v>
      </c>
      <c r="G100" s="7">
        <f t="shared" ca="1" si="4"/>
        <v>23.336111111111112</v>
      </c>
      <c r="H100" s="7" t="s">
        <v>18</v>
      </c>
      <c r="I100" s="7" t="s">
        <v>25</v>
      </c>
      <c r="J100" s="7" t="s">
        <v>21</v>
      </c>
      <c r="K100" s="7" t="s">
        <v>21</v>
      </c>
      <c r="L100" s="8">
        <v>44822</v>
      </c>
      <c r="M100" s="7">
        <f t="shared" ca="1" si="5"/>
        <v>3.6361111111111111</v>
      </c>
      <c r="N100" s="7">
        <v>4462</v>
      </c>
      <c r="O100" s="7" t="str">
        <f t="shared" si="6"/>
        <v>سبتمبر</v>
      </c>
      <c r="P100" s="7" t="str">
        <f t="shared" si="7"/>
        <v>راتب عالي</v>
      </c>
    </row>
    <row r="101" spans="1:16" x14ac:dyDescent="0.3">
      <c r="A101" s="9">
        <v>57227</v>
      </c>
      <c r="B101" s="9" t="s">
        <v>235</v>
      </c>
      <c r="C101" s="9" t="s">
        <v>236</v>
      </c>
      <c r="D101" s="9" t="s">
        <v>53</v>
      </c>
      <c r="E101" s="9" t="s">
        <v>17</v>
      </c>
      <c r="F101" s="10">
        <v>37917</v>
      </c>
      <c r="G101" s="7">
        <f t="shared" ca="1" si="4"/>
        <v>22.538888888888888</v>
      </c>
      <c r="H101" s="9" t="s">
        <v>18</v>
      </c>
      <c r="I101" s="9" t="s">
        <v>25</v>
      </c>
      <c r="J101" s="9" t="s">
        <v>26</v>
      </c>
      <c r="K101" s="9" t="s">
        <v>21</v>
      </c>
      <c r="L101" s="10">
        <v>44823</v>
      </c>
      <c r="M101" s="9">
        <f t="shared" ca="1" si="5"/>
        <v>3.6333333333333333</v>
      </c>
      <c r="N101" s="9">
        <v>3114</v>
      </c>
      <c r="O101" s="9" t="str">
        <f t="shared" si="6"/>
        <v>سبتمبر</v>
      </c>
      <c r="P101" s="7" t="str">
        <f t="shared" si="7"/>
        <v>راتب عالي</v>
      </c>
    </row>
    <row r="102" spans="1:16" x14ac:dyDescent="0.3">
      <c r="A102" s="7">
        <v>57857</v>
      </c>
      <c r="B102" s="7" t="s">
        <v>237</v>
      </c>
      <c r="C102" s="7" t="s">
        <v>238</v>
      </c>
      <c r="D102" s="7" t="s">
        <v>34</v>
      </c>
      <c r="E102" s="7" t="s">
        <v>35</v>
      </c>
      <c r="F102" s="8">
        <v>37637</v>
      </c>
      <c r="G102" s="7">
        <f t="shared" ca="1" si="4"/>
        <v>23.308333333333334</v>
      </c>
      <c r="H102" s="7" t="s">
        <v>18</v>
      </c>
      <c r="I102" s="7" t="s">
        <v>46</v>
      </c>
      <c r="J102" s="7" t="s">
        <v>21</v>
      </c>
      <c r="K102" s="7" t="s">
        <v>21</v>
      </c>
      <c r="L102" s="8">
        <v>44824</v>
      </c>
      <c r="M102" s="7">
        <f t="shared" ca="1" si="5"/>
        <v>3.6305555555555555</v>
      </c>
      <c r="N102" s="7">
        <v>13729</v>
      </c>
      <c r="O102" s="7" t="str">
        <f t="shared" si="6"/>
        <v>سبتمبر</v>
      </c>
      <c r="P102" s="7" t="str">
        <f t="shared" si="7"/>
        <v>راتب طبيعي</v>
      </c>
    </row>
    <row r="103" spans="1:16" x14ac:dyDescent="0.3">
      <c r="A103" s="9">
        <v>58995</v>
      </c>
      <c r="B103" s="9" t="s">
        <v>239</v>
      </c>
      <c r="C103" s="9" t="s">
        <v>240</v>
      </c>
      <c r="D103" s="9" t="s">
        <v>16</v>
      </c>
      <c r="E103" s="9" t="s">
        <v>17</v>
      </c>
      <c r="F103" s="10">
        <v>37883</v>
      </c>
      <c r="G103" s="7">
        <f t="shared" ca="1" si="4"/>
        <v>22.633333333333333</v>
      </c>
      <c r="H103" s="9" t="s">
        <v>36</v>
      </c>
      <c r="I103" s="9" t="s">
        <v>19</v>
      </c>
      <c r="J103" s="9" t="s">
        <v>20</v>
      </c>
      <c r="K103" s="9" t="s">
        <v>21</v>
      </c>
      <c r="L103" s="10">
        <v>44825</v>
      </c>
      <c r="M103" s="9">
        <f t="shared" ca="1" si="5"/>
        <v>3.6277777777777778</v>
      </c>
      <c r="N103" s="9">
        <v>18908</v>
      </c>
      <c r="O103" s="9" t="str">
        <f t="shared" si="6"/>
        <v>سبتمبر</v>
      </c>
      <c r="P103" s="7" t="str">
        <f t="shared" si="7"/>
        <v>راتب طبيعي</v>
      </c>
    </row>
    <row r="104" spans="1:16" x14ac:dyDescent="0.3">
      <c r="A104" s="7">
        <v>52249</v>
      </c>
      <c r="B104" s="7" t="s">
        <v>241</v>
      </c>
      <c r="C104" s="7" t="s">
        <v>242</v>
      </c>
      <c r="D104" s="7" t="s">
        <v>53</v>
      </c>
      <c r="E104" s="7" t="s">
        <v>17</v>
      </c>
      <c r="F104" s="8">
        <v>37656</v>
      </c>
      <c r="G104" s="7">
        <f t="shared" ca="1" si="4"/>
        <v>23.258333333333333</v>
      </c>
      <c r="H104" s="7" t="s">
        <v>18</v>
      </c>
      <c r="I104" s="7" t="s">
        <v>25</v>
      </c>
      <c r="J104" s="7" t="s">
        <v>31</v>
      </c>
      <c r="K104" s="7" t="s">
        <v>21</v>
      </c>
      <c r="L104" s="8">
        <v>44826</v>
      </c>
      <c r="M104" s="7">
        <f t="shared" ca="1" si="5"/>
        <v>3.625</v>
      </c>
      <c r="N104" s="7">
        <v>5554</v>
      </c>
      <c r="O104" s="7" t="str">
        <f t="shared" si="6"/>
        <v>سبتمبر</v>
      </c>
      <c r="P104" s="7" t="str">
        <f t="shared" si="7"/>
        <v>راتب عالي</v>
      </c>
    </row>
    <row r="105" spans="1:16" x14ac:dyDescent="0.3">
      <c r="A105" s="9">
        <v>50442</v>
      </c>
      <c r="B105" s="9" t="s">
        <v>243</v>
      </c>
      <c r="C105" s="9" t="s">
        <v>244</v>
      </c>
      <c r="D105" s="9" t="s">
        <v>34</v>
      </c>
      <c r="E105" s="9" t="s">
        <v>17</v>
      </c>
      <c r="F105" s="10">
        <v>37913</v>
      </c>
      <c r="G105" s="7">
        <f t="shared" ca="1" si="4"/>
        <v>22.55</v>
      </c>
      <c r="H105" s="9" t="s">
        <v>18</v>
      </c>
      <c r="I105" s="9" t="s">
        <v>19</v>
      </c>
      <c r="J105" s="9" t="s">
        <v>21</v>
      </c>
      <c r="K105" s="9" t="s">
        <v>21</v>
      </c>
      <c r="L105" s="10">
        <v>44827</v>
      </c>
      <c r="M105" s="9">
        <f t="shared" ca="1" si="5"/>
        <v>3.6222222222222222</v>
      </c>
      <c r="N105" s="9">
        <v>29292</v>
      </c>
      <c r="O105" s="9" t="str">
        <f t="shared" si="6"/>
        <v>سبتمبر</v>
      </c>
      <c r="P105" s="7" t="str">
        <f t="shared" si="7"/>
        <v>راتب طبيعي</v>
      </c>
    </row>
    <row r="106" spans="1:16" x14ac:dyDescent="0.3">
      <c r="A106" s="7">
        <v>51650</v>
      </c>
      <c r="B106" s="7" t="s">
        <v>245</v>
      </c>
      <c r="C106" s="7" t="s">
        <v>246</v>
      </c>
      <c r="D106" s="7" t="s">
        <v>43</v>
      </c>
      <c r="E106" s="7" t="s">
        <v>35</v>
      </c>
      <c r="F106" s="8">
        <v>37964</v>
      </c>
      <c r="G106" s="7">
        <f t="shared" ca="1" si="4"/>
        <v>22.411111111111111</v>
      </c>
      <c r="H106" s="7" t="s">
        <v>36</v>
      </c>
      <c r="I106" s="7" t="s">
        <v>25</v>
      </c>
      <c r="J106" s="7" t="s">
        <v>31</v>
      </c>
      <c r="K106" s="7" t="s">
        <v>21</v>
      </c>
      <c r="L106" s="8">
        <v>44828</v>
      </c>
      <c r="M106" s="7">
        <f t="shared" ca="1" si="5"/>
        <v>3.6194444444444445</v>
      </c>
      <c r="N106" s="7">
        <v>5096</v>
      </c>
      <c r="O106" s="7" t="str">
        <f t="shared" si="6"/>
        <v>سبتمبر</v>
      </c>
      <c r="P106" s="7" t="str">
        <f t="shared" si="7"/>
        <v>راتب عالي</v>
      </c>
    </row>
    <row r="107" spans="1:16" x14ac:dyDescent="0.3">
      <c r="A107" s="9">
        <v>50768</v>
      </c>
      <c r="B107" s="9" t="s">
        <v>247</v>
      </c>
      <c r="C107" s="9" t="s">
        <v>248</v>
      </c>
      <c r="D107" s="9" t="s">
        <v>40</v>
      </c>
      <c r="E107" s="9" t="s">
        <v>17</v>
      </c>
      <c r="F107" s="10">
        <v>37950</v>
      </c>
      <c r="G107" s="7">
        <f t="shared" ca="1" si="4"/>
        <v>22.45</v>
      </c>
      <c r="H107" s="9" t="s">
        <v>36</v>
      </c>
      <c r="I107" s="9" t="s">
        <v>19</v>
      </c>
      <c r="J107" s="9" t="s">
        <v>21</v>
      </c>
      <c r="K107" s="9" t="s">
        <v>21</v>
      </c>
      <c r="L107" s="10">
        <v>44829</v>
      </c>
      <c r="M107" s="9">
        <f t="shared" ca="1" si="5"/>
        <v>3.6166666666666667</v>
      </c>
      <c r="N107" s="9">
        <v>15286</v>
      </c>
      <c r="O107" s="9" t="str">
        <f t="shared" si="6"/>
        <v>سبتمبر</v>
      </c>
      <c r="P107" s="7" t="str">
        <f t="shared" si="7"/>
        <v>راتب طبيعي</v>
      </c>
    </row>
    <row r="108" spans="1:16" x14ac:dyDescent="0.3">
      <c r="A108" s="7">
        <v>57614</v>
      </c>
      <c r="B108" s="7" t="s">
        <v>249</v>
      </c>
      <c r="C108" s="7" t="s">
        <v>250</v>
      </c>
      <c r="D108" s="7" t="s">
        <v>16</v>
      </c>
      <c r="E108" s="7" t="s">
        <v>17</v>
      </c>
      <c r="F108" s="8">
        <v>37782</v>
      </c>
      <c r="G108" s="7">
        <f t="shared" ca="1" si="4"/>
        <v>22.908333333333335</v>
      </c>
      <c r="H108" s="7" t="s">
        <v>36</v>
      </c>
      <c r="I108" s="7" t="s">
        <v>46</v>
      </c>
      <c r="J108" s="7" t="s">
        <v>21</v>
      </c>
      <c r="K108" s="7" t="s">
        <v>21</v>
      </c>
      <c r="L108" s="8">
        <v>44830</v>
      </c>
      <c r="M108" s="7">
        <f t="shared" ca="1" si="5"/>
        <v>3.6138888888888889</v>
      </c>
      <c r="N108" s="7">
        <v>13927</v>
      </c>
      <c r="O108" s="7" t="str">
        <f t="shared" si="6"/>
        <v>سبتمبر</v>
      </c>
      <c r="P108" s="7" t="str">
        <f t="shared" si="7"/>
        <v>راتب طبيعي</v>
      </c>
    </row>
    <row r="109" spans="1:16" x14ac:dyDescent="0.3">
      <c r="A109" s="9">
        <v>56628</v>
      </c>
      <c r="B109" s="9" t="s">
        <v>251</v>
      </c>
      <c r="C109" s="9" t="s">
        <v>252</v>
      </c>
      <c r="D109" s="9" t="s">
        <v>66</v>
      </c>
      <c r="E109" s="9" t="s">
        <v>17</v>
      </c>
      <c r="F109" s="10">
        <v>37810</v>
      </c>
      <c r="G109" s="7">
        <f t="shared" ca="1" si="4"/>
        <v>22.830555555555556</v>
      </c>
      <c r="H109" s="9" t="s">
        <v>18</v>
      </c>
      <c r="I109" s="9" t="s">
        <v>25</v>
      </c>
      <c r="J109" s="9" t="s">
        <v>21</v>
      </c>
      <c r="K109" s="9" t="s">
        <v>21</v>
      </c>
      <c r="L109" s="10">
        <v>44831</v>
      </c>
      <c r="M109" s="9">
        <f t="shared" ca="1" si="5"/>
        <v>3.6111111111111112</v>
      </c>
      <c r="N109" s="9">
        <v>3566</v>
      </c>
      <c r="O109" s="9" t="str">
        <f t="shared" si="6"/>
        <v>سبتمبر</v>
      </c>
      <c r="P109" s="7" t="str">
        <f t="shared" si="7"/>
        <v>راتب عالي</v>
      </c>
    </row>
    <row r="110" spans="1:16" x14ac:dyDescent="0.3">
      <c r="A110" s="7">
        <v>50024</v>
      </c>
      <c r="B110" s="7" t="s">
        <v>253</v>
      </c>
      <c r="C110" s="7" t="s">
        <v>254</v>
      </c>
      <c r="D110" s="7" t="s">
        <v>16</v>
      </c>
      <c r="E110" s="7" t="s">
        <v>35</v>
      </c>
      <c r="F110" s="8">
        <v>37781</v>
      </c>
      <c r="G110" s="7">
        <f t="shared" ca="1" si="4"/>
        <v>22.911111111111111</v>
      </c>
      <c r="H110" s="7" t="s">
        <v>36</v>
      </c>
      <c r="I110" s="7" t="s">
        <v>46</v>
      </c>
      <c r="J110" s="7" t="s">
        <v>26</v>
      </c>
      <c r="K110" s="7" t="s">
        <v>21</v>
      </c>
      <c r="L110" s="8">
        <v>44832</v>
      </c>
      <c r="M110" s="7">
        <f t="shared" ca="1" si="5"/>
        <v>3.6083333333333334</v>
      </c>
      <c r="N110" s="7">
        <v>13467</v>
      </c>
      <c r="O110" s="7" t="str">
        <f t="shared" si="6"/>
        <v>سبتمبر</v>
      </c>
      <c r="P110" s="7" t="str">
        <f t="shared" si="7"/>
        <v>راتب طبيعي</v>
      </c>
    </row>
    <row r="111" spans="1:16" x14ac:dyDescent="0.3">
      <c r="A111" s="9">
        <v>56554</v>
      </c>
      <c r="B111" s="9" t="s">
        <v>255</v>
      </c>
      <c r="C111" s="9" t="s">
        <v>256</v>
      </c>
      <c r="D111" s="9" t="s">
        <v>16</v>
      </c>
      <c r="E111" s="9" t="s">
        <v>35</v>
      </c>
      <c r="F111" s="10">
        <v>37886</v>
      </c>
      <c r="G111" s="7">
        <f t="shared" ca="1" si="4"/>
        <v>22.625</v>
      </c>
      <c r="H111" s="9" t="s">
        <v>36</v>
      </c>
      <c r="I111" s="9" t="s">
        <v>25</v>
      </c>
      <c r="J111" s="9" t="s">
        <v>20</v>
      </c>
      <c r="K111" s="9" t="s">
        <v>21</v>
      </c>
      <c r="L111" s="10">
        <v>44833</v>
      </c>
      <c r="M111" s="9">
        <f t="shared" ca="1" si="5"/>
        <v>3.6055555555555556</v>
      </c>
      <c r="N111" s="9">
        <v>6785</v>
      </c>
      <c r="O111" s="9" t="str">
        <f t="shared" si="6"/>
        <v>سبتمبر</v>
      </c>
      <c r="P111" s="7" t="str">
        <f t="shared" si="7"/>
        <v>راتب طبيعي</v>
      </c>
    </row>
    <row r="112" spans="1:16" x14ac:dyDescent="0.3">
      <c r="A112" s="7">
        <v>50071</v>
      </c>
      <c r="B112" s="7" t="s">
        <v>257</v>
      </c>
      <c r="C112" s="7" t="s">
        <v>258</v>
      </c>
      <c r="D112" s="7" t="s">
        <v>16</v>
      </c>
      <c r="E112" s="7" t="s">
        <v>17</v>
      </c>
      <c r="F112" s="8">
        <v>37660</v>
      </c>
      <c r="G112" s="7">
        <f t="shared" ca="1" si="4"/>
        <v>23.247222222222224</v>
      </c>
      <c r="H112" s="7" t="s">
        <v>18</v>
      </c>
      <c r="I112" s="7" t="s">
        <v>46</v>
      </c>
      <c r="J112" s="7" t="s">
        <v>26</v>
      </c>
      <c r="K112" s="7" t="s">
        <v>21</v>
      </c>
      <c r="L112" s="8">
        <v>44834</v>
      </c>
      <c r="M112" s="7">
        <f t="shared" ca="1" si="5"/>
        <v>3.6027777777777779</v>
      </c>
      <c r="N112" s="7">
        <v>13633</v>
      </c>
      <c r="O112" s="7" t="str">
        <f t="shared" si="6"/>
        <v>سبتمبر</v>
      </c>
      <c r="P112" s="7" t="str">
        <f t="shared" si="7"/>
        <v>راتب طبيعي</v>
      </c>
    </row>
    <row r="113" spans="1:16" x14ac:dyDescent="0.3">
      <c r="A113" s="9">
        <v>54175</v>
      </c>
      <c r="B113" s="9" t="s">
        <v>259</v>
      </c>
      <c r="C113" s="9" t="s">
        <v>260</v>
      </c>
      <c r="D113" s="9" t="s">
        <v>16</v>
      </c>
      <c r="E113" s="9" t="s">
        <v>17</v>
      </c>
      <c r="F113" s="10">
        <v>37656</v>
      </c>
      <c r="G113" s="7">
        <f t="shared" ca="1" si="4"/>
        <v>23.258333333333333</v>
      </c>
      <c r="H113" s="9" t="s">
        <v>36</v>
      </c>
      <c r="I113" s="9" t="s">
        <v>25</v>
      </c>
      <c r="J113" s="9" t="s">
        <v>21</v>
      </c>
      <c r="K113" s="9" t="s">
        <v>21</v>
      </c>
      <c r="L113" s="10">
        <v>44835</v>
      </c>
      <c r="M113" s="9">
        <f t="shared" ca="1" si="5"/>
        <v>3.6</v>
      </c>
      <c r="N113" s="9">
        <v>6079</v>
      </c>
      <c r="O113" s="9" t="str">
        <f t="shared" si="6"/>
        <v>أكتوبر</v>
      </c>
      <c r="P113" s="7" t="str">
        <f t="shared" si="7"/>
        <v>راتب طبيعي</v>
      </c>
    </row>
    <row r="114" spans="1:16" x14ac:dyDescent="0.3">
      <c r="A114" s="7">
        <v>55697</v>
      </c>
      <c r="B114" s="7" t="s">
        <v>261</v>
      </c>
      <c r="C114" s="7" t="s">
        <v>262</v>
      </c>
      <c r="D114" s="7" t="s">
        <v>16</v>
      </c>
      <c r="E114" s="7" t="s">
        <v>17</v>
      </c>
      <c r="F114" s="8">
        <v>37880</v>
      </c>
      <c r="G114" s="7">
        <f t="shared" ca="1" si="4"/>
        <v>22.641666666666666</v>
      </c>
      <c r="H114" s="7" t="s">
        <v>18</v>
      </c>
      <c r="I114" s="7" t="s">
        <v>25</v>
      </c>
      <c r="J114" s="7" t="s">
        <v>31</v>
      </c>
      <c r="K114" s="7" t="s">
        <v>21</v>
      </c>
      <c r="L114" s="8">
        <v>44836</v>
      </c>
      <c r="M114" s="7">
        <f t="shared" ca="1" si="5"/>
        <v>3.5972222222222223</v>
      </c>
      <c r="N114" s="7">
        <v>5911</v>
      </c>
      <c r="O114" s="7" t="str">
        <f t="shared" si="6"/>
        <v>أكتوبر</v>
      </c>
      <c r="P114" s="7" t="str">
        <f t="shared" si="7"/>
        <v>راتب عالي</v>
      </c>
    </row>
    <row r="115" spans="1:16" x14ac:dyDescent="0.3">
      <c r="A115" s="9">
        <v>54693</v>
      </c>
      <c r="B115" s="9" t="s">
        <v>263</v>
      </c>
      <c r="C115" s="9" t="s">
        <v>264</v>
      </c>
      <c r="D115" s="9" t="s">
        <v>16</v>
      </c>
      <c r="E115" s="9" t="s">
        <v>17</v>
      </c>
      <c r="F115" s="10">
        <v>37819</v>
      </c>
      <c r="G115" s="7">
        <f t="shared" ca="1" si="4"/>
        <v>22.805555555555557</v>
      </c>
      <c r="H115" s="9" t="s">
        <v>36</v>
      </c>
      <c r="I115" s="9" t="s">
        <v>19</v>
      </c>
      <c r="J115" s="9" t="s">
        <v>26</v>
      </c>
      <c r="K115" s="9" t="s">
        <v>21</v>
      </c>
      <c r="L115" s="10">
        <v>44837</v>
      </c>
      <c r="M115" s="9">
        <f t="shared" ca="1" si="5"/>
        <v>3.5944444444444446</v>
      </c>
      <c r="N115" s="9">
        <v>15462</v>
      </c>
      <c r="O115" s="9" t="str">
        <f t="shared" si="6"/>
        <v>أكتوبر</v>
      </c>
      <c r="P115" s="7" t="str">
        <f t="shared" si="7"/>
        <v>راتب طبيعي</v>
      </c>
    </row>
    <row r="116" spans="1:16" x14ac:dyDescent="0.3">
      <c r="A116" s="7">
        <v>57687</v>
      </c>
      <c r="B116" s="7" t="s">
        <v>265</v>
      </c>
      <c r="C116" s="7" t="s">
        <v>266</v>
      </c>
      <c r="D116" s="7" t="s">
        <v>40</v>
      </c>
      <c r="E116" s="7" t="s">
        <v>17</v>
      </c>
      <c r="F116" s="8">
        <v>37852</v>
      </c>
      <c r="G116" s="7">
        <f t="shared" ca="1" si="4"/>
        <v>22.716666666666665</v>
      </c>
      <c r="H116" s="7" t="s">
        <v>36</v>
      </c>
      <c r="I116" s="7" t="s">
        <v>25</v>
      </c>
      <c r="J116" s="7" t="s">
        <v>20</v>
      </c>
      <c r="K116" s="7" t="s">
        <v>21</v>
      </c>
      <c r="L116" s="8">
        <v>44838</v>
      </c>
      <c r="M116" s="7">
        <f t="shared" ca="1" si="5"/>
        <v>3.5916666666666668</v>
      </c>
      <c r="N116" s="7">
        <v>4865</v>
      </c>
      <c r="O116" s="7" t="str">
        <f t="shared" si="6"/>
        <v>أكتوبر</v>
      </c>
      <c r="P116" s="7" t="str">
        <f t="shared" si="7"/>
        <v>راتب عالي</v>
      </c>
    </row>
    <row r="117" spans="1:16" x14ac:dyDescent="0.3">
      <c r="A117" s="9">
        <v>50825</v>
      </c>
      <c r="B117" s="9" t="s">
        <v>267</v>
      </c>
      <c r="C117" s="9" t="s">
        <v>268</v>
      </c>
      <c r="D117" s="9" t="s">
        <v>53</v>
      </c>
      <c r="E117" s="9" t="s">
        <v>17</v>
      </c>
      <c r="F117" s="10">
        <v>37809</v>
      </c>
      <c r="G117" s="7">
        <f t="shared" ca="1" si="4"/>
        <v>22.833333333333332</v>
      </c>
      <c r="H117" s="9" t="s">
        <v>36</v>
      </c>
      <c r="I117" s="9" t="s">
        <v>25</v>
      </c>
      <c r="J117" s="9" t="s">
        <v>26</v>
      </c>
      <c r="K117" s="9" t="s">
        <v>21</v>
      </c>
      <c r="L117" s="10">
        <v>44839</v>
      </c>
      <c r="M117" s="9">
        <f t="shared" ca="1" si="5"/>
        <v>3.588888888888889</v>
      </c>
      <c r="N117" s="9">
        <v>4198</v>
      </c>
      <c r="O117" s="9" t="str">
        <f t="shared" si="6"/>
        <v>أكتوبر</v>
      </c>
      <c r="P117" s="7" t="str">
        <f t="shared" si="7"/>
        <v>راتب عالي</v>
      </c>
    </row>
    <row r="118" spans="1:16" x14ac:dyDescent="0.3">
      <c r="A118" s="7">
        <v>51327</v>
      </c>
      <c r="B118" s="7" t="s">
        <v>269</v>
      </c>
      <c r="C118" s="7" t="s">
        <v>270</v>
      </c>
      <c r="D118" s="7" t="s">
        <v>95</v>
      </c>
      <c r="E118" s="7" t="s">
        <v>17</v>
      </c>
      <c r="F118" s="8">
        <v>37676</v>
      </c>
      <c r="G118" s="7">
        <f t="shared" ca="1" si="4"/>
        <v>23.202777777777779</v>
      </c>
      <c r="H118" s="7" t="s">
        <v>18</v>
      </c>
      <c r="I118" s="7" t="s">
        <v>25</v>
      </c>
      <c r="J118" s="7" t="s">
        <v>27</v>
      </c>
      <c r="K118" s="7" t="s">
        <v>21</v>
      </c>
      <c r="L118" s="8">
        <v>44840</v>
      </c>
      <c r="M118" s="7">
        <f t="shared" ca="1" si="5"/>
        <v>3.5861111111111112</v>
      </c>
      <c r="N118" s="7">
        <v>3829</v>
      </c>
      <c r="O118" s="7" t="str">
        <f t="shared" si="6"/>
        <v>أكتوبر</v>
      </c>
      <c r="P118" s="7" t="str">
        <f t="shared" si="7"/>
        <v>راتب عالي</v>
      </c>
    </row>
    <row r="119" spans="1:16" x14ac:dyDescent="0.3">
      <c r="A119" s="9">
        <v>59016</v>
      </c>
      <c r="B119" s="9" t="s">
        <v>271</v>
      </c>
      <c r="C119" s="9" t="s">
        <v>272</v>
      </c>
      <c r="D119" s="9" t="s">
        <v>34</v>
      </c>
      <c r="E119" s="9" t="s">
        <v>17</v>
      </c>
      <c r="F119" s="10">
        <v>37756</v>
      </c>
      <c r="G119" s="7">
        <f t="shared" ca="1" si="4"/>
        <v>22.977777777777778</v>
      </c>
      <c r="H119" s="9" t="s">
        <v>36</v>
      </c>
      <c r="I119" s="9" t="s">
        <v>19</v>
      </c>
      <c r="J119" s="9" t="s">
        <v>20</v>
      </c>
      <c r="K119" s="9" t="s">
        <v>21</v>
      </c>
      <c r="L119" s="10">
        <v>44841</v>
      </c>
      <c r="M119" s="9">
        <f t="shared" ca="1" si="5"/>
        <v>3.5833333333333335</v>
      </c>
      <c r="N119" s="9">
        <v>27416</v>
      </c>
      <c r="O119" s="9" t="str">
        <f t="shared" si="6"/>
        <v>أكتوبر</v>
      </c>
      <c r="P119" s="7" t="str">
        <f t="shared" si="7"/>
        <v>راتب طبيعي</v>
      </c>
    </row>
    <row r="120" spans="1:16" x14ac:dyDescent="0.3">
      <c r="A120" s="7">
        <v>56202</v>
      </c>
      <c r="B120" s="7" t="s">
        <v>273</v>
      </c>
      <c r="C120" s="7" t="s">
        <v>274</v>
      </c>
      <c r="D120" s="7" t="s">
        <v>53</v>
      </c>
      <c r="E120" s="7" t="s">
        <v>35</v>
      </c>
      <c r="F120" s="8">
        <v>37735</v>
      </c>
      <c r="G120" s="7">
        <f t="shared" ca="1" si="4"/>
        <v>23.036111111111111</v>
      </c>
      <c r="H120" s="7" t="s">
        <v>36</v>
      </c>
      <c r="I120" s="7" t="s">
        <v>25</v>
      </c>
      <c r="J120" s="7" t="s">
        <v>31</v>
      </c>
      <c r="K120" s="7" t="s">
        <v>21</v>
      </c>
      <c r="L120" s="8">
        <v>44842</v>
      </c>
      <c r="M120" s="7">
        <f t="shared" ca="1" si="5"/>
        <v>3.5805555555555557</v>
      </c>
      <c r="N120" s="7">
        <v>6794</v>
      </c>
      <c r="O120" s="7" t="str">
        <f t="shared" si="6"/>
        <v>أكتوبر</v>
      </c>
      <c r="P120" s="7" t="str">
        <f t="shared" si="7"/>
        <v>راتب طبيعي</v>
      </c>
    </row>
    <row r="121" spans="1:16" x14ac:dyDescent="0.3">
      <c r="A121" s="9">
        <v>55559</v>
      </c>
      <c r="B121" s="9" t="s">
        <v>275</v>
      </c>
      <c r="C121" s="9" t="s">
        <v>276</v>
      </c>
      <c r="D121" s="9" t="s">
        <v>66</v>
      </c>
      <c r="E121" s="9" t="s">
        <v>17</v>
      </c>
      <c r="F121" s="10">
        <v>37861</v>
      </c>
      <c r="G121" s="7">
        <f t="shared" ca="1" si="4"/>
        <v>22.691666666666666</v>
      </c>
      <c r="H121" s="9" t="s">
        <v>36</v>
      </c>
      <c r="I121" s="9" t="s">
        <v>25</v>
      </c>
      <c r="J121" s="9" t="s">
        <v>27</v>
      </c>
      <c r="K121" s="9" t="s">
        <v>21</v>
      </c>
      <c r="L121" s="10">
        <v>44843</v>
      </c>
      <c r="M121" s="9">
        <f t="shared" ca="1" si="5"/>
        <v>3.5777777777777779</v>
      </c>
      <c r="N121" s="9">
        <v>6444</v>
      </c>
      <c r="O121" s="9" t="str">
        <f t="shared" si="6"/>
        <v>أكتوبر</v>
      </c>
      <c r="P121" s="7" t="str">
        <f t="shared" si="7"/>
        <v>راتب طبيعي</v>
      </c>
    </row>
    <row r="122" spans="1:16" x14ac:dyDescent="0.3">
      <c r="A122" s="7">
        <v>50891</v>
      </c>
      <c r="B122" s="7" t="s">
        <v>277</v>
      </c>
      <c r="C122" s="7" t="s">
        <v>278</v>
      </c>
      <c r="D122" s="7" t="s">
        <v>53</v>
      </c>
      <c r="E122" s="7" t="s">
        <v>35</v>
      </c>
      <c r="F122" s="8">
        <v>37888</v>
      </c>
      <c r="G122" s="7">
        <f t="shared" ca="1" si="4"/>
        <v>22.619444444444444</v>
      </c>
      <c r="H122" s="7" t="s">
        <v>36</v>
      </c>
      <c r="I122" s="7" t="s">
        <v>19</v>
      </c>
      <c r="J122" s="7" t="s">
        <v>20</v>
      </c>
      <c r="K122" s="7" t="s">
        <v>21</v>
      </c>
      <c r="L122" s="8">
        <v>44844</v>
      </c>
      <c r="M122" s="7">
        <f t="shared" ca="1" si="5"/>
        <v>3.5750000000000002</v>
      </c>
      <c r="N122" s="7">
        <v>20031</v>
      </c>
      <c r="O122" s="7" t="str">
        <f t="shared" si="6"/>
        <v>أكتوبر</v>
      </c>
      <c r="P122" s="7" t="str">
        <f t="shared" si="7"/>
        <v>راتب طبيعي</v>
      </c>
    </row>
    <row r="123" spans="1:16" x14ac:dyDescent="0.3">
      <c r="A123" s="9">
        <v>56862</v>
      </c>
      <c r="B123" s="9" t="s">
        <v>279</v>
      </c>
      <c r="C123" s="9" t="s">
        <v>280</v>
      </c>
      <c r="D123" s="9" t="s">
        <v>43</v>
      </c>
      <c r="E123" s="9" t="s">
        <v>35</v>
      </c>
      <c r="F123" s="10">
        <v>37961</v>
      </c>
      <c r="G123" s="7">
        <f t="shared" ca="1" si="4"/>
        <v>22.419444444444444</v>
      </c>
      <c r="H123" s="9" t="s">
        <v>18</v>
      </c>
      <c r="I123" s="9" t="s">
        <v>25</v>
      </c>
      <c r="J123" s="9" t="s">
        <v>26</v>
      </c>
      <c r="K123" s="9" t="s">
        <v>21</v>
      </c>
      <c r="L123" s="10">
        <v>44845</v>
      </c>
      <c r="M123" s="9">
        <f t="shared" ca="1" si="5"/>
        <v>3.5722222222222224</v>
      </c>
      <c r="N123" s="9">
        <v>4795</v>
      </c>
      <c r="O123" s="9" t="str">
        <f t="shared" si="6"/>
        <v>أكتوبر</v>
      </c>
      <c r="P123" s="7" t="str">
        <f t="shared" si="7"/>
        <v>راتب عالي</v>
      </c>
    </row>
    <row r="124" spans="1:16" x14ac:dyDescent="0.3">
      <c r="A124" s="7">
        <v>53757</v>
      </c>
      <c r="B124" s="7" t="s">
        <v>281</v>
      </c>
      <c r="C124" s="7" t="s">
        <v>282</v>
      </c>
      <c r="D124" s="7" t="s">
        <v>146</v>
      </c>
      <c r="E124" s="7" t="s">
        <v>35</v>
      </c>
      <c r="F124" s="8">
        <v>37683</v>
      </c>
      <c r="G124" s="7">
        <f t="shared" ca="1" si="4"/>
        <v>23.177777777777777</v>
      </c>
      <c r="H124" s="7" t="s">
        <v>36</v>
      </c>
      <c r="I124" s="7" t="s">
        <v>25</v>
      </c>
      <c r="J124" s="7" t="s">
        <v>27</v>
      </c>
      <c r="K124" s="7" t="s">
        <v>21</v>
      </c>
      <c r="L124" s="8">
        <v>44846</v>
      </c>
      <c r="M124" s="7">
        <f t="shared" ca="1" si="5"/>
        <v>3.5694444444444446</v>
      </c>
      <c r="N124" s="7">
        <v>4959</v>
      </c>
      <c r="O124" s="7" t="str">
        <f t="shared" si="6"/>
        <v>أكتوبر</v>
      </c>
      <c r="P124" s="7" t="str">
        <f t="shared" si="7"/>
        <v>راتب عالي</v>
      </c>
    </row>
    <row r="125" spans="1:16" x14ac:dyDescent="0.3">
      <c r="A125" s="9">
        <v>56204</v>
      </c>
      <c r="B125" s="9" t="s">
        <v>283</v>
      </c>
      <c r="C125" s="9" t="s">
        <v>284</v>
      </c>
      <c r="D125" s="9" t="s">
        <v>40</v>
      </c>
      <c r="E125" s="9" t="s">
        <v>17</v>
      </c>
      <c r="F125" s="10">
        <v>36726</v>
      </c>
      <c r="G125" s="7">
        <f t="shared" ca="1" si="4"/>
        <v>25.8</v>
      </c>
      <c r="H125" s="9" t="s">
        <v>18</v>
      </c>
      <c r="I125" s="9" t="s">
        <v>25</v>
      </c>
      <c r="J125" s="9" t="s">
        <v>20</v>
      </c>
      <c r="K125" s="9" t="s">
        <v>21</v>
      </c>
      <c r="L125" s="10">
        <v>44847</v>
      </c>
      <c r="M125" s="9">
        <f t="shared" ca="1" si="5"/>
        <v>3.5666666666666669</v>
      </c>
      <c r="N125" s="9">
        <v>5042</v>
      </c>
      <c r="O125" s="9" t="str">
        <f t="shared" si="6"/>
        <v>أكتوبر</v>
      </c>
      <c r="P125" s="7" t="str">
        <f t="shared" si="7"/>
        <v>راتب عالي</v>
      </c>
    </row>
    <row r="126" spans="1:16" x14ac:dyDescent="0.3">
      <c r="A126" s="7">
        <v>59223</v>
      </c>
      <c r="B126" s="7" t="s">
        <v>285</v>
      </c>
      <c r="C126" s="7" t="s">
        <v>286</v>
      </c>
      <c r="D126" s="7" t="s">
        <v>95</v>
      </c>
      <c r="E126" s="7" t="s">
        <v>17</v>
      </c>
      <c r="F126" s="8">
        <v>35475</v>
      </c>
      <c r="G126" s="7">
        <f t="shared" ca="1" si="4"/>
        <v>29.230555555555554</v>
      </c>
      <c r="H126" s="7" t="s">
        <v>36</v>
      </c>
      <c r="I126" s="7" t="s">
        <v>46</v>
      </c>
      <c r="J126" s="7" t="s">
        <v>27</v>
      </c>
      <c r="K126" s="7" t="s">
        <v>21</v>
      </c>
      <c r="L126" s="8">
        <v>44848</v>
      </c>
      <c r="M126" s="7">
        <f t="shared" ca="1" si="5"/>
        <v>3.5638888888888891</v>
      </c>
      <c r="N126" s="7">
        <v>13651</v>
      </c>
      <c r="O126" s="7" t="str">
        <f t="shared" si="6"/>
        <v>أكتوبر</v>
      </c>
      <c r="P126" s="7" t="str">
        <f t="shared" si="7"/>
        <v>راتب طبيعي</v>
      </c>
    </row>
    <row r="127" spans="1:16" x14ac:dyDescent="0.3">
      <c r="A127" s="9">
        <v>57438</v>
      </c>
      <c r="B127" s="9" t="s">
        <v>287</v>
      </c>
      <c r="C127" s="9" t="s">
        <v>288</v>
      </c>
      <c r="D127" s="9" t="s">
        <v>40</v>
      </c>
      <c r="E127" s="9" t="s">
        <v>17</v>
      </c>
      <c r="F127" s="10">
        <v>36334</v>
      </c>
      <c r="G127" s="7">
        <f t="shared" ca="1" si="4"/>
        <v>26.872222222222224</v>
      </c>
      <c r="H127" s="9" t="s">
        <v>18</v>
      </c>
      <c r="I127" s="9" t="s">
        <v>25</v>
      </c>
      <c r="J127" s="9" t="s">
        <v>20</v>
      </c>
      <c r="K127" s="9" t="s">
        <v>21</v>
      </c>
      <c r="L127" s="10">
        <v>44849</v>
      </c>
      <c r="M127" s="9">
        <f t="shared" ca="1" si="5"/>
        <v>3.5611111111111109</v>
      </c>
      <c r="N127" s="9">
        <v>4055</v>
      </c>
      <c r="O127" s="9" t="str">
        <f t="shared" si="6"/>
        <v>أكتوبر</v>
      </c>
      <c r="P127" s="7" t="str">
        <f t="shared" si="7"/>
        <v>راتب عالي</v>
      </c>
    </row>
    <row r="128" spans="1:16" x14ac:dyDescent="0.3">
      <c r="A128" s="7">
        <v>56978</v>
      </c>
      <c r="B128" s="7" t="s">
        <v>289</v>
      </c>
      <c r="C128" s="7" t="s">
        <v>290</v>
      </c>
      <c r="D128" s="7" t="s">
        <v>40</v>
      </c>
      <c r="E128" s="7" t="s">
        <v>17</v>
      </c>
      <c r="F128" s="8">
        <v>32897</v>
      </c>
      <c r="G128" s="7">
        <f t="shared" ca="1" si="4"/>
        <v>36.286111111111111</v>
      </c>
      <c r="H128" s="7" t="s">
        <v>18</v>
      </c>
      <c r="I128" s="7" t="s">
        <v>19</v>
      </c>
      <c r="J128" s="7" t="s">
        <v>26</v>
      </c>
      <c r="K128" s="7" t="s">
        <v>21</v>
      </c>
      <c r="L128" s="8">
        <v>44850</v>
      </c>
      <c r="M128" s="7">
        <f t="shared" ca="1" si="5"/>
        <v>3.5583333333333331</v>
      </c>
      <c r="N128" s="7">
        <v>22646</v>
      </c>
      <c r="O128" s="7" t="str">
        <f t="shared" si="6"/>
        <v>أكتوبر</v>
      </c>
      <c r="P128" s="7" t="str">
        <f t="shared" si="7"/>
        <v>راتب طبيعي</v>
      </c>
    </row>
    <row r="129" spans="1:16" x14ac:dyDescent="0.3">
      <c r="A129" s="9">
        <v>58145</v>
      </c>
      <c r="B129" s="9" t="s">
        <v>291</v>
      </c>
      <c r="C129" s="9" t="s">
        <v>292</v>
      </c>
      <c r="D129" s="9" t="s">
        <v>66</v>
      </c>
      <c r="E129" s="9" t="s">
        <v>35</v>
      </c>
      <c r="F129" s="10">
        <v>34679</v>
      </c>
      <c r="G129" s="7">
        <f t="shared" ca="1" si="4"/>
        <v>31.405555555555555</v>
      </c>
      <c r="H129" s="9" t="s">
        <v>18</v>
      </c>
      <c r="I129" s="9" t="s">
        <v>25</v>
      </c>
      <c r="J129" s="9" t="s">
        <v>21</v>
      </c>
      <c r="K129" s="9" t="s">
        <v>21</v>
      </c>
      <c r="L129" s="10">
        <v>44851</v>
      </c>
      <c r="M129" s="9">
        <f t="shared" ca="1" si="5"/>
        <v>3.5555555555555554</v>
      </c>
      <c r="N129" s="9">
        <v>4445</v>
      </c>
      <c r="O129" s="9" t="str">
        <f t="shared" si="6"/>
        <v>أكتوبر</v>
      </c>
      <c r="P129" s="7" t="str">
        <f t="shared" si="7"/>
        <v>راتب عالي</v>
      </c>
    </row>
    <row r="130" spans="1:16" x14ac:dyDescent="0.3">
      <c r="A130" s="7">
        <v>57192</v>
      </c>
      <c r="B130" s="7" t="s">
        <v>293</v>
      </c>
      <c r="C130" s="7" t="s">
        <v>294</v>
      </c>
      <c r="D130" s="7" t="s">
        <v>66</v>
      </c>
      <c r="E130" s="7" t="s">
        <v>17</v>
      </c>
      <c r="F130" s="8">
        <v>35861</v>
      </c>
      <c r="G130" s="7">
        <f t="shared" ca="1" si="4"/>
        <v>28.166666666666668</v>
      </c>
      <c r="H130" s="7" t="s">
        <v>18</v>
      </c>
      <c r="I130" s="7" t="s">
        <v>25</v>
      </c>
      <c r="J130" s="7" t="s">
        <v>21</v>
      </c>
      <c r="K130" s="7" t="s">
        <v>21</v>
      </c>
      <c r="L130" s="8">
        <v>44852</v>
      </c>
      <c r="M130" s="7">
        <f t="shared" ca="1" si="5"/>
        <v>3.5527777777777776</v>
      </c>
      <c r="N130" s="7">
        <v>3431</v>
      </c>
      <c r="O130" s="7" t="str">
        <f t="shared" si="6"/>
        <v>أكتوبر</v>
      </c>
      <c r="P130" s="7" t="str">
        <f t="shared" si="7"/>
        <v>راتب عالي</v>
      </c>
    </row>
    <row r="131" spans="1:16" x14ac:dyDescent="0.3">
      <c r="A131" s="9">
        <v>58587</v>
      </c>
      <c r="B131" s="9" t="s">
        <v>295</v>
      </c>
      <c r="C131" s="9" t="s">
        <v>296</v>
      </c>
      <c r="D131" s="9" t="s">
        <v>146</v>
      </c>
      <c r="E131" s="9" t="s">
        <v>17</v>
      </c>
      <c r="F131" s="10">
        <v>37420</v>
      </c>
      <c r="G131" s="7">
        <f t="shared" ref="G131:G194" ca="1" si="8">YEARFRAC(F131,TODAY())</f>
        <v>23.9</v>
      </c>
      <c r="H131" s="9" t="s">
        <v>36</v>
      </c>
      <c r="I131" s="9" t="s">
        <v>46</v>
      </c>
      <c r="J131" s="9" t="s">
        <v>21</v>
      </c>
      <c r="K131" s="9" t="s">
        <v>21</v>
      </c>
      <c r="L131" s="10">
        <v>44853</v>
      </c>
      <c r="M131" s="9">
        <f t="shared" ref="M131:M194" ca="1" si="9">YEARFRAC(L131,TODAY())</f>
        <v>3.55</v>
      </c>
      <c r="N131" s="9">
        <v>14744</v>
      </c>
      <c r="O131" s="9" t="str">
        <f t="shared" ref="O131:O194" si="10">TEXT(L131,"mmm")</f>
        <v>أكتوبر</v>
      </c>
      <c r="P131" s="7" t="str">
        <f t="shared" ref="P131:P194" si="11">IF(N131&gt;=S$10,"راتب طبيعي","راتب عالي")</f>
        <v>راتب طبيعي</v>
      </c>
    </row>
    <row r="132" spans="1:16" x14ac:dyDescent="0.3">
      <c r="A132" s="7">
        <v>57430</v>
      </c>
      <c r="B132" s="7" t="s">
        <v>297</v>
      </c>
      <c r="C132" s="7" t="s">
        <v>298</v>
      </c>
      <c r="D132" s="7" t="s">
        <v>30</v>
      </c>
      <c r="E132" s="7" t="s">
        <v>35</v>
      </c>
      <c r="F132" s="8">
        <v>37431</v>
      </c>
      <c r="G132" s="7">
        <f t="shared" ca="1" si="8"/>
        <v>23.869444444444444</v>
      </c>
      <c r="H132" s="7" t="s">
        <v>18</v>
      </c>
      <c r="I132" s="7" t="s">
        <v>46</v>
      </c>
      <c r="J132" s="7" t="s">
        <v>20</v>
      </c>
      <c r="K132" s="7" t="s">
        <v>21</v>
      </c>
      <c r="L132" s="8">
        <v>44854</v>
      </c>
      <c r="M132" s="7">
        <f t="shared" ca="1" si="9"/>
        <v>3.5472222222222221</v>
      </c>
      <c r="N132" s="7">
        <v>12526</v>
      </c>
      <c r="O132" s="7" t="str">
        <f t="shared" si="10"/>
        <v>أكتوبر</v>
      </c>
      <c r="P132" s="7" t="str">
        <f t="shared" si="11"/>
        <v>راتب طبيعي</v>
      </c>
    </row>
    <row r="133" spans="1:16" x14ac:dyDescent="0.3">
      <c r="A133" s="9">
        <v>50677</v>
      </c>
      <c r="B133" s="9" t="s">
        <v>299</v>
      </c>
      <c r="C133" s="9" t="s">
        <v>300</v>
      </c>
      <c r="D133" s="9" t="s">
        <v>66</v>
      </c>
      <c r="E133" s="9" t="s">
        <v>35</v>
      </c>
      <c r="F133" s="10">
        <v>37428</v>
      </c>
      <c r="G133" s="7">
        <f t="shared" ca="1" si="8"/>
        <v>23.877777777777776</v>
      </c>
      <c r="H133" s="9" t="s">
        <v>36</v>
      </c>
      <c r="I133" s="9" t="s">
        <v>46</v>
      </c>
      <c r="J133" s="9" t="s">
        <v>21</v>
      </c>
      <c r="K133" s="9" t="s">
        <v>21</v>
      </c>
      <c r="L133" s="10">
        <v>44855</v>
      </c>
      <c r="M133" s="9">
        <f t="shared" ca="1" si="9"/>
        <v>3.5444444444444443</v>
      </c>
      <c r="N133" s="9">
        <v>10782</v>
      </c>
      <c r="O133" s="9" t="str">
        <f t="shared" si="10"/>
        <v>أكتوبر</v>
      </c>
      <c r="P133" s="7" t="str">
        <f t="shared" si="11"/>
        <v>راتب طبيعي</v>
      </c>
    </row>
    <row r="134" spans="1:16" x14ac:dyDescent="0.3">
      <c r="A134" s="7">
        <v>56402</v>
      </c>
      <c r="B134" s="7" t="s">
        <v>301</v>
      </c>
      <c r="C134" s="7" t="s">
        <v>302</v>
      </c>
      <c r="D134" s="7" t="s">
        <v>40</v>
      </c>
      <c r="E134" s="7" t="s">
        <v>17</v>
      </c>
      <c r="F134" s="8">
        <v>37443</v>
      </c>
      <c r="G134" s="7">
        <f t="shared" ca="1" si="8"/>
        <v>23.836111111111112</v>
      </c>
      <c r="H134" s="7" t="s">
        <v>18</v>
      </c>
      <c r="I134" s="7" t="s">
        <v>19</v>
      </c>
      <c r="J134" s="7" t="s">
        <v>27</v>
      </c>
      <c r="K134" s="7" t="s">
        <v>21</v>
      </c>
      <c r="L134" s="8">
        <v>44856</v>
      </c>
      <c r="M134" s="7">
        <f t="shared" ca="1" si="9"/>
        <v>3.5416666666666665</v>
      </c>
      <c r="N134" s="7">
        <v>21908</v>
      </c>
      <c r="O134" s="7" t="str">
        <f t="shared" si="10"/>
        <v>أكتوبر</v>
      </c>
      <c r="P134" s="7" t="str">
        <f t="shared" si="11"/>
        <v>راتب طبيعي</v>
      </c>
    </row>
    <row r="135" spans="1:16" x14ac:dyDescent="0.3">
      <c r="A135" s="9">
        <v>53600</v>
      </c>
      <c r="B135" s="9" t="s">
        <v>303</v>
      </c>
      <c r="C135" s="9" t="s">
        <v>304</v>
      </c>
      <c r="D135" s="9" t="s">
        <v>43</v>
      </c>
      <c r="E135" s="9" t="s">
        <v>35</v>
      </c>
      <c r="F135" s="10">
        <v>37425</v>
      </c>
      <c r="G135" s="7">
        <f t="shared" ca="1" si="8"/>
        <v>23.886111111111113</v>
      </c>
      <c r="H135" s="9" t="s">
        <v>18</v>
      </c>
      <c r="I135" s="9" t="s">
        <v>46</v>
      </c>
      <c r="J135" s="9" t="s">
        <v>31</v>
      </c>
      <c r="K135" s="9" t="s">
        <v>21</v>
      </c>
      <c r="L135" s="10">
        <v>44857</v>
      </c>
      <c r="M135" s="9">
        <f t="shared" ca="1" si="9"/>
        <v>3.5388888888888888</v>
      </c>
      <c r="N135" s="9">
        <v>12249</v>
      </c>
      <c r="O135" s="9" t="str">
        <f t="shared" si="10"/>
        <v>أكتوبر</v>
      </c>
      <c r="P135" s="7" t="str">
        <f t="shared" si="11"/>
        <v>راتب طبيعي</v>
      </c>
    </row>
    <row r="136" spans="1:16" x14ac:dyDescent="0.3">
      <c r="A136" s="7">
        <v>52062</v>
      </c>
      <c r="B136" s="7" t="s">
        <v>305</v>
      </c>
      <c r="C136" s="7" t="s">
        <v>306</v>
      </c>
      <c r="D136" s="7" t="s">
        <v>40</v>
      </c>
      <c r="E136" s="7" t="s">
        <v>35</v>
      </c>
      <c r="F136" s="8">
        <v>33332</v>
      </c>
      <c r="G136" s="7">
        <f t="shared" ca="1" si="8"/>
        <v>35.091666666666669</v>
      </c>
      <c r="H136" s="7" t="s">
        <v>18</v>
      </c>
      <c r="I136" s="7" t="s">
        <v>46</v>
      </c>
      <c r="J136" s="7" t="s">
        <v>27</v>
      </c>
      <c r="K136" s="7" t="s">
        <v>21</v>
      </c>
      <c r="L136" s="8">
        <v>44858</v>
      </c>
      <c r="M136" s="7">
        <f t="shared" ca="1" si="9"/>
        <v>3.536111111111111</v>
      </c>
      <c r="N136" s="7">
        <v>12707</v>
      </c>
      <c r="O136" s="7" t="str">
        <f t="shared" si="10"/>
        <v>أكتوبر</v>
      </c>
      <c r="P136" s="7" t="str">
        <f t="shared" si="11"/>
        <v>راتب طبيعي</v>
      </c>
    </row>
    <row r="137" spans="1:16" x14ac:dyDescent="0.3">
      <c r="A137" s="9">
        <v>56803</v>
      </c>
      <c r="B137" s="9" t="s">
        <v>307</v>
      </c>
      <c r="C137" s="9" t="s">
        <v>308</v>
      </c>
      <c r="D137" s="9" t="s">
        <v>95</v>
      </c>
      <c r="E137" s="9" t="s">
        <v>17</v>
      </c>
      <c r="F137" s="10">
        <v>34811</v>
      </c>
      <c r="G137" s="7">
        <f t="shared" ca="1" si="8"/>
        <v>31.041666666666668</v>
      </c>
      <c r="H137" s="9" t="s">
        <v>18</v>
      </c>
      <c r="I137" s="9" t="s">
        <v>19</v>
      </c>
      <c r="J137" s="9" t="s">
        <v>20</v>
      </c>
      <c r="K137" s="9" t="s">
        <v>21</v>
      </c>
      <c r="L137" s="10">
        <v>44859</v>
      </c>
      <c r="M137" s="9">
        <f t="shared" ca="1" si="9"/>
        <v>3.5333333333333332</v>
      </c>
      <c r="N137" s="9">
        <v>18373</v>
      </c>
      <c r="O137" s="9" t="str">
        <f t="shared" si="10"/>
        <v>أكتوبر</v>
      </c>
      <c r="P137" s="7" t="str">
        <f t="shared" si="11"/>
        <v>راتب طبيعي</v>
      </c>
    </row>
    <row r="138" spans="1:16" x14ac:dyDescent="0.3">
      <c r="A138" s="7">
        <v>53073</v>
      </c>
      <c r="B138" s="7" t="s">
        <v>309</v>
      </c>
      <c r="C138" s="7" t="s">
        <v>310</v>
      </c>
      <c r="D138" s="7" t="s">
        <v>95</v>
      </c>
      <c r="E138" s="7" t="s">
        <v>17</v>
      </c>
      <c r="F138" s="8">
        <v>30783</v>
      </c>
      <c r="G138" s="7">
        <f t="shared" ca="1" si="8"/>
        <v>42.072222222222223</v>
      </c>
      <c r="H138" s="7" t="s">
        <v>36</v>
      </c>
      <c r="I138" s="7" t="s">
        <v>25</v>
      </c>
      <c r="J138" s="7" t="s">
        <v>27</v>
      </c>
      <c r="K138" s="7" t="s">
        <v>21</v>
      </c>
      <c r="L138" s="8">
        <v>44860</v>
      </c>
      <c r="M138" s="7">
        <f t="shared" ca="1" si="9"/>
        <v>3.5305555555555554</v>
      </c>
      <c r="N138" s="7">
        <v>4282</v>
      </c>
      <c r="O138" s="7" t="str">
        <f t="shared" si="10"/>
        <v>أكتوبر</v>
      </c>
      <c r="P138" s="7" t="str">
        <f t="shared" si="11"/>
        <v>راتب عالي</v>
      </c>
    </row>
    <row r="139" spans="1:16" x14ac:dyDescent="0.3">
      <c r="A139" s="9">
        <v>54041</v>
      </c>
      <c r="B139" s="9" t="s">
        <v>311</v>
      </c>
      <c r="C139" s="9" t="s">
        <v>312</v>
      </c>
      <c r="D139" s="9" t="s">
        <v>43</v>
      </c>
      <c r="E139" s="9" t="s">
        <v>17</v>
      </c>
      <c r="F139" s="10">
        <v>32096</v>
      </c>
      <c r="G139" s="7">
        <f t="shared" ca="1" si="8"/>
        <v>38.477777777777774</v>
      </c>
      <c r="H139" s="9" t="s">
        <v>36</v>
      </c>
      <c r="I139" s="9" t="s">
        <v>25</v>
      </c>
      <c r="J139" s="9" t="s">
        <v>20</v>
      </c>
      <c r="K139" s="9" t="s">
        <v>21</v>
      </c>
      <c r="L139" s="10">
        <v>44861</v>
      </c>
      <c r="M139" s="9">
        <f t="shared" ca="1" si="9"/>
        <v>3.5277777777777777</v>
      </c>
      <c r="N139" s="9">
        <v>6720</v>
      </c>
      <c r="O139" s="9" t="str">
        <f t="shared" si="10"/>
        <v>أكتوبر</v>
      </c>
      <c r="P139" s="7" t="str">
        <f t="shared" si="11"/>
        <v>راتب طبيعي</v>
      </c>
    </row>
    <row r="140" spans="1:16" x14ac:dyDescent="0.3">
      <c r="A140" s="7">
        <v>56432</v>
      </c>
      <c r="B140" s="7" t="s">
        <v>313</v>
      </c>
      <c r="C140" s="7" t="s">
        <v>314</v>
      </c>
      <c r="D140" s="7" t="s">
        <v>40</v>
      </c>
      <c r="E140" s="7" t="s">
        <v>17</v>
      </c>
      <c r="F140" s="8">
        <v>34761</v>
      </c>
      <c r="G140" s="7">
        <f t="shared" ca="1" si="8"/>
        <v>31.177777777777777</v>
      </c>
      <c r="H140" s="7" t="s">
        <v>18</v>
      </c>
      <c r="I140" s="7" t="s">
        <v>25</v>
      </c>
      <c r="J140" s="7" t="s">
        <v>20</v>
      </c>
      <c r="K140" s="7" t="s">
        <v>21</v>
      </c>
      <c r="L140" s="8">
        <v>44862</v>
      </c>
      <c r="M140" s="7">
        <f t="shared" ca="1" si="9"/>
        <v>3.5249999999999999</v>
      </c>
      <c r="N140" s="7">
        <v>3707</v>
      </c>
      <c r="O140" s="7" t="str">
        <f t="shared" si="10"/>
        <v>أكتوبر</v>
      </c>
      <c r="P140" s="7" t="str">
        <f t="shared" si="11"/>
        <v>راتب عالي</v>
      </c>
    </row>
    <row r="141" spans="1:16" x14ac:dyDescent="0.3">
      <c r="A141" s="9">
        <v>59603</v>
      </c>
      <c r="B141" s="9" t="s">
        <v>315</v>
      </c>
      <c r="C141" s="9" t="s">
        <v>316</v>
      </c>
      <c r="D141" s="9" t="s">
        <v>146</v>
      </c>
      <c r="E141" s="9" t="s">
        <v>17</v>
      </c>
      <c r="F141" s="10">
        <v>33954</v>
      </c>
      <c r="G141" s="7">
        <f t="shared" ca="1" si="8"/>
        <v>33.391666666666666</v>
      </c>
      <c r="H141" s="9" t="s">
        <v>18</v>
      </c>
      <c r="I141" s="9" t="s">
        <v>19</v>
      </c>
      <c r="J141" s="9" t="s">
        <v>31</v>
      </c>
      <c r="K141" s="9" t="s">
        <v>21</v>
      </c>
      <c r="L141" s="10">
        <v>44863</v>
      </c>
      <c r="M141" s="9">
        <f t="shared" ca="1" si="9"/>
        <v>3.5222222222222221</v>
      </c>
      <c r="N141" s="9">
        <v>26906</v>
      </c>
      <c r="O141" s="9" t="str">
        <f t="shared" si="10"/>
        <v>أكتوبر</v>
      </c>
      <c r="P141" s="7" t="str">
        <f t="shared" si="11"/>
        <v>راتب طبيعي</v>
      </c>
    </row>
    <row r="142" spans="1:16" x14ac:dyDescent="0.3">
      <c r="A142" s="7">
        <v>57571</v>
      </c>
      <c r="B142" s="7" t="s">
        <v>317</v>
      </c>
      <c r="C142" s="7" t="s">
        <v>318</v>
      </c>
      <c r="D142" s="7" t="s">
        <v>40</v>
      </c>
      <c r="E142" s="7" t="s">
        <v>17</v>
      </c>
      <c r="F142" s="8">
        <v>36898</v>
      </c>
      <c r="G142" s="7">
        <f t="shared" ca="1" si="8"/>
        <v>25.333333333333332</v>
      </c>
      <c r="H142" s="7" t="s">
        <v>18</v>
      </c>
      <c r="I142" s="7" t="s">
        <v>25</v>
      </c>
      <c r="J142" s="7" t="s">
        <v>26</v>
      </c>
      <c r="K142" s="7" t="s">
        <v>21</v>
      </c>
      <c r="L142" s="8">
        <v>44864</v>
      </c>
      <c r="M142" s="7">
        <f t="shared" ca="1" si="9"/>
        <v>3.5194444444444444</v>
      </c>
      <c r="N142" s="7">
        <v>3577</v>
      </c>
      <c r="O142" s="7" t="str">
        <f t="shared" si="10"/>
        <v>أكتوبر</v>
      </c>
      <c r="P142" s="7" t="str">
        <f t="shared" si="11"/>
        <v>راتب عالي</v>
      </c>
    </row>
    <row r="143" spans="1:16" x14ac:dyDescent="0.3">
      <c r="A143" s="9">
        <v>57263</v>
      </c>
      <c r="B143" s="9" t="s">
        <v>319</v>
      </c>
      <c r="C143" s="9" t="s">
        <v>320</v>
      </c>
      <c r="D143" s="9" t="s">
        <v>16</v>
      </c>
      <c r="E143" s="9" t="s">
        <v>17</v>
      </c>
      <c r="F143" s="10">
        <v>31879</v>
      </c>
      <c r="G143" s="7">
        <f t="shared" ca="1" si="8"/>
        <v>39.069444444444443</v>
      </c>
      <c r="H143" s="9" t="s">
        <v>36</v>
      </c>
      <c r="I143" s="9" t="s">
        <v>19</v>
      </c>
      <c r="J143" s="9" t="s">
        <v>20</v>
      </c>
      <c r="K143" s="9" t="s">
        <v>21</v>
      </c>
      <c r="L143" s="10">
        <v>44865</v>
      </c>
      <c r="M143" s="9">
        <f t="shared" ca="1" si="9"/>
        <v>3.5194444444444444</v>
      </c>
      <c r="N143" s="9">
        <v>17453</v>
      </c>
      <c r="O143" s="9" t="str">
        <f t="shared" si="10"/>
        <v>أكتوبر</v>
      </c>
      <c r="P143" s="7" t="str">
        <f t="shared" si="11"/>
        <v>راتب طبيعي</v>
      </c>
    </row>
    <row r="144" spans="1:16" x14ac:dyDescent="0.3">
      <c r="A144" s="7">
        <v>59816</v>
      </c>
      <c r="B144" s="7" t="s">
        <v>321</v>
      </c>
      <c r="C144" s="7" t="s">
        <v>322</v>
      </c>
      <c r="D144" s="7" t="s">
        <v>66</v>
      </c>
      <c r="E144" s="7" t="s">
        <v>35</v>
      </c>
      <c r="F144" s="8">
        <v>30155</v>
      </c>
      <c r="G144" s="7">
        <f t="shared" ca="1" si="8"/>
        <v>43.788888888888891</v>
      </c>
      <c r="H144" s="7" t="s">
        <v>36</v>
      </c>
      <c r="I144" s="7" t="s">
        <v>46</v>
      </c>
      <c r="J144" s="7" t="s">
        <v>20</v>
      </c>
      <c r="K144" s="7" t="s">
        <v>21</v>
      </c>
      <c r="L144" s="8">
        <v>44866</v>
      </c>
      <c r="M144" s="7">
        <f t="shared" ca="1" si="9"/>
        <v>3.5166666666666666</v>
      </c>
      <c r="N144" s="7">
        <v>14515</v>
      </c>
      <c r="O144" s="7" t="str">
        <f t="shared" si="10"/>
        <v>نوفمبر</v>
      </c>
      <c r="P144" s="7" t="str">
        <f t="shared" si="11"/>
        <v>راتب طبيعي</v>
      </c>
    </row>
    <row r="145" spans="1:16" x14ac:dyDescent="0.3">
      <c r="A145" s="9">
        <v>57114</v>
      </c>
      <c r="B145" s="9" t="s">
        <v>323</v>
      </c>
      <c r="C145" s="9" t="s">
        <v>324</v>
      </c>
      <c r="D145" s="9" t="s">
        <v>43</v>
      </c>
      <c r="E145" s="9" t="s">
        <v>35</v>
      </c>
      <c r="F145" s="10">
        <v>31610</v>
      </c>
      <c r="G145" s="7">
        <f t="shared" ca="1" si="8"/>
        <v>39.805555555555557</v>
      </c>
      <c r="H145" s="9" t="s">
        <v>36</v>
      </c>
      <c r="I145" s="9" t="s">
        <v>25</v>
      </c>
      <c r="J145" s="9" t="s">
        <v>21</v>
      </c>
      <c r="K145" s="9" t="s">
        <v>21</v>
      </c>
      <c r="L145" s="10">
        <v>44867</v>
      </c>
      <c r="M145" s="9">
        <f t="shared" ca="1" si="9"/>
        <v>3.5138888888888888</v>
      </c>
      <c r="N145" s="9">
        <v>5881</v>
      </c>
      <c r="O145" s="9" t="str">
        <f t="shared" si="10"/>
        <v>نوفمبر</v>
      </c>
      <c r="P145" s="7" t="str">
        <f t="shared" si="11"/>
        <v>راتب عالي</v>
      </c>
    </row>
    <row r="146" spans="1:16" x14ac:dyDescent="0.3">
      <c r="A146" s="7">
        <v>53785</v>
      </c>
      <c r="B146" s="7" t="s">
        <v>325</v>
      </c>
      <c r="C146" s="7" t="s">
        <v>326</v>
      </c>
      <c r="D146" s="7" t="s">
        <v>66</v>
      </c>
      <c r="E146" s="7" t="s">
        <v>35</v>
      </c>
      <c r="F146" s="8">
        <v>37339</v>
      </c>
      <c r="G146" s="7">
        <f t="shared" ca="1" si="8"/>
        <v>24.119444444444444</v>
      </c>
      <c r="H146" s="7" t="s">
        <v>18</v>
      </c>
      <c r="I146" s="7" t="s">
        <v>46</v>
      </c>
      <c r="J146" s="7" t="s">
        <v>21</v>
      </c>
      <c r="K146" s="7" t="s">
        <v>21</v>
      </c>
      <c r="L146" s="8">
        <v>44868</v>
      </c>
      <c r="M146" s="7">
        <f t="shared" ca="1" si="9"/>
        <v>3.5111111111111111</v>
      </c>
      <c r="N146" s="7">
        <v>13151</v>
      </c>
      <c r="O146" s="7" t="str">
        <f t="shared" si="10"/>
        <v>نوفمبر</v>
      </c>
      <c r="P146" s="7" t="str">
        <f t="shared" si="11"/>
        <v>راتب طبيعي</v>
      </c>
    </row>
    <row r="147" spans="1:16" x14ac:dyDescent="0.3">
      <c r="A147" s="9">
        <v>51171</v>
      </c>
      <c r="B147" s="9" t="s">
        <v>327</v>
      </c>
      <c r="C147" s="9" t="s">
        <v>328</v>
      </c>
      <c r="D147" s="9" t="s">
        <v>53</v>
      </c>
      <c r="E147" s="9" t="s">
        <v>35</v>
      </c>
      <c r="F147" s="10">
        <v>37507</v>
      </c>
      <c r="G147" s="7">
        <f t="shared" ca="1" si="8"/>
        <v>23.663888888888888</v>
      </c>
      <c r="H147" s="9" t="s">
        <v>18</v>
      </c>
      <c r="I147" s="9" t="s">
        <v>25</v>
      </c>
      <c r="J147" s="9" t="s">
        <v>26</v>
      </c>
      <c r="K147" s="9" t="s">
        <v>21</v>
      </c>
      <c r="L147" s="10">
        <v>44869</v>
      </c>
      <c r="M147" s="9">
        <f t="shared" ca="1" si="9"/>
        <v>3.5083333333333333</v>
      </c>
      <c r="N147" s="9">
        <v>5451</v>
      </c>
      <c r="O147" s="9" t="str">
        <f t="shared" si="10"/>
        <v>نوفمبر</v>
      </c>
      <c r="P147" s="7" t="str">
        <f t="shared" si="11"/>
        <v>راتب عالي</v>
      </c>
    </row>
    <row r="148" spans="1:16" x14ac:dyDescent="0.3">
      <c r="A148" s="7">
        <v>52964</v>
      </c>
      <c r="B148" s="7" t="s">
        <v>329</v>
      </c>
      <c r="C148" s="7" t="s">
        <v>330</v>
      </c>
      <c r="D148" s="7" t="s">
        <v>40</v>
      </c>
      <c r="E148" s="7" t="s">
        <v>17</v>
      </c>
      <c r="F148" s="8">
        <v>37426</v>
      </c>
      <c r="G148" s="7">
        <f t="shared" ca="1" si="8"/>
        <v>23.883333333333333</v>
      </c>
      <c r="H148" s="7" t="s">
        <v>18</v>
      </c>
      <c r="I148" s="7" t="s">
        <v>25</v>
      </c>
      <c r="J148" s="7" t="s">
        <v>20</v>
      </c>
      <c r="K148" s="7" t="s">
        <v>21</v>
      </c>
      <c r="L148" s="8">
        <v>44870</v>
      </c>
      <c r="M148" s="7">
        <f t="shared" ca="1" si="9"/>
        <v>3.5055555555555555</v>
      </c>
      <c r="N148" s="7">
        <v>5469</v>
      </c>
      <c r="O148" s="7" t="str">
        <f t="shared" si="10"/>
        <v>نوفمبر</v>
      </c>
      <c r="P148" s="7" t="str">
        <f t="shared" si="11"/>
        <v>راتب عالي</v>
      </c>
    </row>
    <row r="149" spans="1:16" x14ac:dyDescent="0.3">
      <c r="A149" s="9">
        <v>51944</v>
      </c>
      <c r="B149" s="9" t="s">
        <v>331</v>
      </c>
      <c r="C149" s="9" t="s">
        <v>332</v>
      </c>
      <c r="D149" s="9" t="s">
        <v>16</v>
      </c>
      <c r="E149" s="9" t="s">
        <v>17</v>
      </c>
      <c r="F149" s="10">
        <v>37604</v>
      </c>
      <c r="G149" s="7">
        <f t="shared" ca="1" si="8"/>
        <v>23.397222222222222</v>
      </c>
      <c r="H149" s="9" t="s">
        <v>36</v>
      </c>
      <c r="I149" s="9" t="s">
        <v>25</v>
      </c>
      <c r="J149" s="9" t="s">
        <v>26</v>
      </c>
      <c r="K149" s="9" t="s">
        <v>21</v>
      </c>
      <c r="L149" s="10">
        <v>44871</v>
      </c>
      <c r="M149" s="9">
        <f t="shared" ca="1" si="9"/>
        <v>3.5027777777777778</v>
      </c>
      <c r="N149" s="9">
        <v>3583</v>
      </c>
      <c r="O149" s="9" t="str">
        <f t="shared" si="10"/>
        <v>نوفمبر</v>
      </c>
      <c r="P149" s="7" t="str">
        <f t="shared" si="11"/>
        <v>راتب عالي</v>
      </c>
    </row>
    <row r="150" spans="1:16" x14ac:dyDescent="0.3">
      <c r="A150" s="7">
        <v>54172</v>
      </c>
      <c r="B150" s="7" t="s">
        <v>333</v>
      </c>
      <c r="C150" s="7" t="s">
        <v>334</v>
      </c>
      <c r="D150" s="7" t="s">
        <v>146</v>
      </c>
      <c r="E150" s="7" t="s">
        <v>17</v>
      </c>
      <c r="F150" s="8">
        <v>37712</v>
      </c>
      <c r="G150" s="7">
        <f t="shared" ca="1" si="8"/>
        <v>23.1</v>
      </c>
      <c r="H150" s="7" t="s">
        <v>36</v>
      </c>
      <c r="I150" s="7" t="s">
        <v>25</v>
      </c>
      <c r="J150" s="7" t="s">
        <v>31</v>
      </c>
      <c r="K150" s="7" t="s">
        <v>21</v>
      </c>
      <c r="L150" s="8">
        <v>44872</v>
      </c>
      <c r="M150" s="7">
        <f t="shared" ca="1" si="9"/>
        <v>3.5</v>
      </c>
      <c r="N150" s="7">
        <v>3791</v>
      </c>
      <c r="O150" s="7" t="str">
        <f t="shared" si="10"/>
        <v>نوفمبر</v>
      </c>
      <c r="P150" s="7" t="str">
        <f t="shared" si="11"/>
        <v>راتب عالي</v>
      </c>
    </row>
    <row r="151" spans="1:16" x14ac:dyDescent="0.3">
      <c r="A151" s="9">
        <v>54667</v>
      </c>
      <c r="B151" s="9" t="s">
        <v>335</v>
      </c>
      <c r="C151" s="9" t="s">
        <v>336</v>
      </c>
      <c r="D151" s="9" t="s">
        <v>43</v>
      </c>
      <c r="E151" s="9" t="s">
        <v>17</v>
      </c>
      <c r="F151" s="10">
        <v>37627</v>
      </c>
      <c r="G151" s="7">
        <f t="shared" ca="1" si="8"/>
        <v>23.336111111111112</v>
      </c>
      <c r="H151" s="9" t="s">
        <v>18</v>
      </c>
      <c r="I151" s="9" t="s">
        <v>46</v>
      </c>
      <c r="J151" s="9" t="s">
        <v>27</v>
      </c>
      <c r="K151" s="9" t="s">
        <v>21</v>
      </c>
      <c r="L151" s="10">
        <v>44873</v>
      </c>
      <c r="M151" s="9">
        <f t="shared" ca="1" si="9"/>
        <v>3.4972222222222222</v>
      </c>
      <c r="N151" s="9">
        <v>14875</v>
      </c>
      <c r="O151" s="9" t="str">
        <f t="shared" si="10"/>
        <v>نوفمبر</v>
      </c>
      <c r="P151" s="7" t="str">
        <f t="shared" si="11"/>
        <v>راتب طبيعي</v>
      </c>
    </row>
    <row r="152" spans="1:16" x14ac:dyDescent="0.3">
      <c r="A152" s="7">
        <v>53070</v>
      </c>
      <c r="B152" s="7" t="s">
        <v>337</v>
      </c>
      <c r="C152" s="7" t="s">
        <v>338</v>
      </c>
      <c r="D152" s="7" t="s">
        <v>30</v>
      </c>
      <c r="E152" s="7" t="s">
        <v>35</v>
      </c>
      <c r="F152" s="8">
        <v>37753</v>
      </c>
      <c r="G152" s="7">
        <f t="shared" ca="1" si="8"/>
        <v>22.986111111111111</v>
      </c>
      <c r="H152" s="7" t="s">
        <v>36</v>
      </c>
      <c r="I152" s="7" t="s">
        <v>25</v>
      </c>
      <c r="J152" s="7" t="s">
        <v>27</v>
      </c>
      <c r="K152" s="7" t="s">
        <v>21</v>
      </c>
      <c r="L152" s="8">
        <v>44874</v>
      </c>
      <c r="M152" s="7">
        <f t="shared" ca="1" si="9"/>
        <v>3.4944444444444445</v>
      </c>
      <c r="N152" s="7">
        <v>6229</v>
      </c>
      <c r="O152" s="7" t="str">
        <f t="shared" si="10"/>
        <v>نوفمبر</v>
      </c>
      <c r="P152" s="7" t="str">
        <f t="shared" si="11"/>
        <v>راتب طبيعي</v>
      </c>
    </row>
    <row r="153" spans="1:16" x14ac:dyDescent="0.3">
      <c r="A153" s="9">
        <v>55655</v>
      </c>
      <c r="B153" s="9" t="s">
        <v>339</v>
      </c>
      <c r="C153" s="9" t="s">
        <v>340</v>
      </c>
      <c r="D153" s="9" t="s">
        <v>34</v>
      </c>
      <c r="E153" s="9" t="s">
        <v>17</v>
      </c>
      <c r="F153" s="10">
        <v>37880</v>
      </c>
      <c r="G153" s="7">
        <f t="shared" ca="1" si="8"/>
        <v>22.641666666666666</v>
      </c>
      <c r="H153" s="9" t="s">
        <v>36</v>
      </c>
      <c r="I153" s="9" t="s">
        <v>19</v>
      </c>
      <c r="J153" s="9" t="s">
        <v>20</v>
      </c>
      <c r="K153" s="9" t="s">
        <v>21</v>
      </c>
      <c r="L153" s="10">
        <v>44875</v>
      </c>
      <c r="M153" s="9">
        <f t="shared" ca="1" si="9"/>
        <v>3.4916666666666667</v>
      </c>
      <c r="N153" s="9">
        <v>19711</v>
      </c>
      <c r="O153" s="9" t="str">
        <f t="shared" si="10"/>
        <v>نوفمبر</v>
      </c>
      <c r="P153" s="7" t="str">
        <f t="shared" si="11"/>
        <v>راتب طبيعي</v>
      </c>
    </row>
    <row r="154" spans="1:16" x14ac:dyDescent="0.3">
      <c r="A154" s="7">
        <v>55754</v>
      </c>
      <c r="B154" s="7" t="s">
        <v>341</v>
      </c>
      <c r="C154" s="7" t="s">
        <v>342</v>
      </c>
      <c r="D154" s="7" t="s">
        <v>43</v>
      </c>
      <c r="E154" s="7" t="s">
        <v>17</v>
      </c>
      <c r="F154" s="8">
        <v>37774</v>
      </c>
      <c r="G154" s="7">
        <f t="shared" ca="1" si="8"/>
        <v>22.930555555555557</v>
      </c>
      <c r="H154" s="7" t="s">
        <v>18</v>
      </c>
      <c r="I154" s="7" t="s">
        <v>25</v>
      </c>
      <c r="J154" s="7" t="s">
        <v>27</v>
      </c>
      <c r="K154" s="7" t="s">
        <v>21</v>
      </c>
      <c r="L154" s="8">
        <v>44876</v>
      </c>
      <c r="M154" s="7">
        <f t="shared" ca="1" si="9"/>
        <v>3.4888888888888889</v>
      </c>
      <c r="N154" s="7">
        <v>5056</v>
      </c>
      <c r="O154" s="7" t="str">
        <f t="shared" si="10"/>
        <v>نوفمبر</v>
      </c>
      <c r="P154" s="7" t="str">
        <f t="shared" si="11"/>
        <v>راتب عالي</v>
      </c>
    </row>
    <row r="155" spans="1:16" x14ac:dyDescent="0.3">
      <c r="A155" s="9">
        <v>59748</v>
      </c>
      <c r="B155" s="9" t="s">
        <v>343</v>
      </c>
      <c r="C155" s="9" t="s">
        <v>344</v>
      </c>
      <c r="D155" s="9" t="s">
        <v>40</v>
      </c>
      <c r="E155" s="9" t="s">
        <v>17</v>
      </c>
      <c r="F155" s="10">
        <v>37942</v>
      </c>
      <c r="G155" s="7">
        <f t="shared" ca="1" si="8"/>
        <v>22.472222222222221</v>
      </c>
      <c r="H155" s="9" t="s">
        <v>18</v>
      </c>
      <c r="I155" s="9" t="s">
        <v>25</v>
      </c>
      <c r="J155" s="9" t="s">
        <v>21</v>
      </c>
      <c r="K155" s="9" t="s">
        <v>21</v>
      </c>
      <c r="L155" s="10">
        <v>44877</v>
      </c>
      <c r="M155" s="9">
        <f t="shared" ca="1" si="9"/>
        <v>3.4861111111111112</v>
      </c>
      <c r="N155" s="9">
        <v>3368</v>
      </c>
      <c r="O155" s="9" t="str">
        <f t="shared" si="10"/>
        <v>نوفمبر</v>
      </c>
      <c r="P155" s="7" t="str">
        <f t="shared" si="11"/>
        <v>راتب عالي</v>
      </c>
    </row>
    <row r="156" spans="1:16" x14ac:dyDescent="0.3">
      <c r="A156" s="7">
        <v>57099</v>
      </c>
      <c r="B156" s="7" t="s">
        <v>345</v>
      </c>
      <c r="C156" s="7" t="s">
        <v>346</v>
      </c>
      <c r="D156" s="7" t="s">
        <v>43</v>
      </c>
      <c r="E156" s="7" t="s">
        <v>17</v>
      </c>
      <c r="F156" s="8">
        <v>37625</v>
      </c>
      <c r="G156" s="7">
        <f t="shared" ca="1" si="8"/>
        <v>23.341666666666665</v>
      </c>
      <c r="H156" s="7" t="s">
        <v>36</v>
      </c>
      <c r="I156" s="7" t="s">
        <v>25</v>
      </c>
      <c r="J156" s="7" t="s">
        <v>31</v>
      </c>
      <c r="K156" s="7" t="s">
        <v>21</v>
      </c>
      <c r="L156" s="8">
        <v>44878</v>
      </c>
      <c r="M156" s="7">
        <f t="shared" ca="1" si="9"/>
        <v>3.4833333333333334</v>
      </c>
      <c r="N156" s="7">
        <v>6699</v>
      </c>
      <c r="O156" s="7" t="str">
        <f t="shared" si="10"/>
        <v>نوفمبر</v>
      </c>
      <c r="P156" s="7" t="str">
        <f t="shared" si="11"/>
        <v>راتب طبيعي</v>
      </c>
    </row>
    <row r="157" spans="1:16" x14ac:dyDescent="0.3">
      <c r="A157" s="9">
        <v>50751</v>
      </c>
      <c r="B157" s="9" t="s">
        <v>347</v>
      </c>
      <c r="C157" s="9" t="s">
        <v>348</v>
      </c>
      <c r="D157" s="9" t="s">
        <v>34</v>
      </c>
      <c r="E157" s="9" t="s">
        <v>17</v>
      </c>
      <c r="F157" s="10">
        <v>37668</v>
      </c>
      <c r="G157" s="7">
        <f t="shared" ca="1" si="8"/>
        <v>23.225000000000001</v>
      </c>
      <c r="H157" s="9" t="s">
        <v>36</v>
      </c>
      <c r="I157" s="9" t="s">
        <v>25</v>
      </c>
      <c r="J157" s="9" t="s">
        <v>27</v>
      </c>
      <c r="K157" s="9" t="s">
        <v>21</v>
      </c>
      <c r="L157" s="10">
        <v>44879</v>
      </c>
      <c r="M157" s="9">
        <f t="shared" ca="1" si="9"/>
        <v>3.4805555555555556</v>
      </c>
      <c r="N157" s="9">
        <v>5763</v>
      </c>
      <c r="O157" s="9" t="str">
        <f t="shared" si="10"/>
        <v>نوفمبر</v>
      </c>
      <c r="P157" s="7" t="str">
        <f t="shared" si="11"/>
        <v>راتب عالي</v>
      </c>
    </row>
    <row r="158" spans="1:16" x14ac:dyDescent="0.3">
      <c r="A158" s="7">
        <v>58570</v>
      </c>
      <c r="B158" s="7" t="s">
        <v>349</v>
      </c>
      <c r="C158" s="7" t="s">
        <v>350</v>
      </c>
      <c r="D158" s="7" t="s">
        <v>146</v>
      </c>
      <c r="E158" s="7" t="s">
        <v>35</v>
      </c>
      <c r="F158" s="8">
        <v>37883</v>
      </c>
      <c r="G158" s="7">
        <f t="shared" ca="1" si="8"/>
        <v>22.633333333333333</v>
      </c>
      <c r="H158" s="7" t="s">
        <v>36</v>
      </c>
      <c r="I158" s="7" t="s">
        <v>25</v>
      </c>
      <c r="J158" s="7" t="s">
        <v>27</v>
      </c>
      <c r="K158" s="7" t="s">
        <v>21</v>
      </c>
      <c r="L158" s="8">
        <v>44880</v>
      </c>
      <c r="M158" s="7">
        <f t="shared" ca="1" si="9"/>
        <v>3.4777777777777779</v>
      </c>
      <c r="N158" s="7">
        <v>3897</v>
      </c>
      <c r="O158" s="7" t="str">
        <f t="shared" si="10"/>
        <v>نوفمبر</v>
      </c>
      <c r="P158" s="7" t="str">
        <f t="shared" si="11"/>
        <v>راتب عالي</v>
      </c>
    </row>
    <row r="159" spans="1:16" x14ac:dyDescent="0.3">
      <c r="A159" s="9">
        <v>55559</v>
      </c>
      <c r="B159" s="9" t="s">
        <v>351</v>
      </c>
      <c r="C159" s="9" t="s">
        <v>352</v>
      </c>
      <c r="D159" s="9" t="s">
        <v>34</v>
      </c>
      <c r="E159" s="9" t="s">
        <v>35</v>
      </c>
      <c r="F159" s="10">
        <v>37701</v>
      </c>
      <c r="G159" s="7">
        <f t="shared" ca="1" si="8"/>
        <v>23.127777777777776</v>
      </c>
      <c r="H159" s="9" t="s">
        <v>36</v>
      </c>
      <c r="I159" s="9" t="s">
        <v>25</v>
      </c>
      <c r="J159" s="9" t="s">
        <v>31</v>
      </c>
      <c r="K159" s="9" t="s">
        <v>21</v>
      </c>
      <c r="L159" s="10">
        <v>44881</v>
      </c>
      <c r="M159" s="9">
        <f t="shared" ca="1" si="9"/>
        <v>3.4750000000000001</v>
      </c>
      <c r="N159" s="9">
        <v>4851</v>
      </c>
      <c r="O159" s="9" t="str">
        <f t="shared" si="10"/>
        <v>نوفمبر</v>
      </c>
      <c r="P159" s="7" t="str">
        <f t="shared" si="11"/>
        <v>راتب عالي</v>
      </c>
    </row>
    <row r="160" spans="1:16" x14ac:dyDescent="0.3">
      <c r="A160" s="7">
        <v>54936</v>
      </c>
      <c r="B160" s="7" t="s">
        <v>353</v>
      </c>
      <c r="C160" s="7" t="s">
        <v>354</v>
      </c>
      <c r="D160" s="7" t="s">
        <v>146</v>
      </c>
      <c r="E160" s="7" t="s">
        <v>17</v>
      </c>
      <c r="F160" s="8">
        <v>37861</v>
      </c>
      <c r="G160" s="7">
        <f t="shared" ca="1" si="8"/>
        <v>22.691666666666666</v>
      </c>
      <c r="H160" s="7" t="s">
        <v>36</v>
      </c>
      <c r="I160" s="7" t="s">
        <v>25</v>
      </c>
      <c r="J160" s="7" t="s">
        <v>21</v>
      </c>
      <c r="K160" s="7" t="s">
        <v>21</v>
      </c>
      <c r="L160" s="8">
        <v>44882</v>
      </c>
      <c r="M160" s="7">
        <f t="shared" ca="1" si="9"/>
        <v>3.4722222222222223</v>
      </c>
      <c r="N160" s="7">
        <v>4729</v>
      </c>
      <c r="O160" s="7" t="str">
        <f t="shared" si="10"/>
        <v>نوفمبر</v>
      </c>
      <c r="P160" s="7" t="str">
        <f t="shared" si="11"/>
        <v>راتب عالي</v>
      </c>
    </row>
    <row r="161" spans="1:16" x14ac:dyDescent="0.3">
      <c r="A161" s="9">
        <v>57928</v>
      </c>
      <c r="B161" s="9" t="s">
        <v>355</v>
      </c>
      <c r="C161" s="9" t="s">
        <v>356</v>
      </c>
      <c r="D161" s="9" t="s">
        <v>34</v>
      </c>
      <c r="E161" s="9" t="s">
        <v>35</v>
      </c>
      <c r="F161" s="10">
        <v>37661</v>
      </c>
      <c r="G161" s="7">
        <f t="shared" ca="1" si="8"/>
        <v>23.244444444444444</v>
      </c>
      <c r="H161" s="9" t="s">
        <v>36</v>
      </c>
      <c r="I161" s="9" t="s">
        <v>25</v>
      </c>
      <c r="J161" s="9" t="s">
        <v>31</v>
      </c>
      <c r="K161" s="9" t="s">
        <v>21</v>
      </c>
      <c r="L161" s="10">
        <v>44883</v>
      </c>
      <c r="M161" s="9">
        <f t="shared" ca="1" si="9"/>
        <v>3.4694444444444446</v>
      </c>
      <c r="N161" s="9">
        <v>6341</v>
      </c>
      <c r="O161" s="9" t="str">
        <f t="shared" si="10"/>
        <v>نوفمبر</v>
      </c>
      <c r="P161" s="7" t="str">
        <f t="shared" si="11"/>
        <v>راتب طبيعي</v>
      </c>
    </row>
    <row r="162" spans="1:16" x14ac:dyDescent="0.3">
      <c r="A162" s="7">
        <v>55753</v>
      </c>
      <c r="B162" s="7" t="s">
        <v>357</v>
      </c>
      <c r="C162" s="7" t="s">
        <v>358</v>
      </c>
      <c r="D162" s="7" t="s">
        <v>66</v>
      </c>
      <c r="E162" s="7" t="s">
        <v>35</v>
      </c>
      <c r="F162" s="8">
        <v>37969</v>
      </c>
      <c r="G162" s="7">
        <f t="shared" ca="1" si="8"/>
        <v>22.397222222222222</v>
      </c>
      <c r="H162" s="7" t="s">
        <v>36</v>
      </c>
      <c r="I162" s="7" t="s">
        <v>25</v>
      </c>
      <c r="J162" s="7" t="s">
        <v>31</v>
      </c>
      <c r="K162" s="7" t="s">
        <v>21</v>
      </c>
      <c r="L162" s="8">
        <v>44884</v>
      </c>
      <c r="M162" s="7">
        <f t="shared" ca="1" si="9"/>
        <v>3.4666666666666668</v>
      </c>
      <c r="N162" s="7">
        <v>6906</v>
      </c>
      <c r="O162" s="7" t="str">
        <f t="shared" si="10"/>
        <v>نوفمبر</v>
      </c>
      <c r="P162" s="7" t="str">
        <f t="shared" si="11"/>
        <v>راتب طبيعي</v>
      </c>
    </row>
    <row r="163" spans="1:16" x14ac:dyDescent="0.3">
      <c r="A163" s="9">
        <v>56671</v>
      </c>
      <c r="B163" s="9" t="s">
        <v>359</v>
      </c>
      <c r="C163" s="9" t="s">
        <v>360</v>
      </c>
      <c r="D163" s="9" t="s">
        <v>34</v>
      </c>
      <c r="E163" s="9" t="s">
        <v>35</v>
      </c>
      <c r="F163" s="10">
        <v>37939</v>
      </c>
      <c r="G163" s="7">
        <f t="shared" ca="1" si="8"/>
        <v>22.480555555555554</v>
      </c>
      <c r="H163" s="9" t="s">
        <v>36</v>
      </c>
      <c r="I163" s="9" t="s">
        <v>25</v>
      </c>
      <c r="J163" s="9" t="s">
        <v>26</v>
      </c>
      <c r="K163" s="9" t="s">
        <v>21</v>
      </c>
      <c r="L163" s="10">
        <v>44885</v>
      </c>
      <c r="M163" s="9">
        <f t="shared" ca="1" si="9"/>
        <v>3.463888888888889</v>
      </c>
      <c r="N163" s="9">
        <v>5811</v>
      </c>
      <c r="O163" s="9" t="str">
        <f t="shared" si="10"/>
        <v>نوفمبر</v>
      </c>
      <c r="P163" s="7" t="str">
        <f t="shared" si="11"/>
        <v>راتب عالي</v>
      </c>
    </row>
    <row r="164" spans="1:16" x14ac:dyDescent="0.3">
      <c r="A164" s="7">
        <v>50055</v>
      </c>
      <c r="B164" s="7" t="s">
        <v>361</v>
      </c>
      <c r="C164" s="7" t="s">
        <v>362</v>
      </c>
      <c r="D164" s="7" t="s">
        <v>95</v>
      </c>
      <c r="E164" s="7" t="s">
        <v>35</v>
      </c>
      <c r="F164" s="8">
        <v>37785</v>
      </c>
      <c r="G164" s="7">
        <f t="shared" ca="1" si="8"/>
        <v>22.9</v>
      </c>
      <c r="H164" s="7" t="s">
        <v>18</v>
      </c>
      <c r="I164" s="7" t="s">
        <v>25</v>
      </c>
      <c r="J164" s="7" t="s">
        <v>27</v>
      </c>
      <c r="K164" s="7" t="s">
        <v>21</v>
      </c>
      <c r="L164" s="8">
        <v>44886</v>
      </c>
      <c r="M164" s="7">
        <f t="shared" ca="1" si="9"/>
        <v>3.4611111111111112</v>
      </c>
      <c r="N164" s="7">
        <v>3624</v>
      </c>
      <c r="O164" s="7" t="str">
        <f t="shared" si="10"/>
        <v>نوفمبر</v>
      </c>
      <c r="P164" s="7" t="str">
        <f t="shared" si="11"/>
        <v>راتب عالي</v>
      </c>
    </row>
    <row r="165" spans="1:16" x14ac:dyDescent="0.3">
      <c r="A165" s="9">
        <v>57707</v>
      </c>
      <c r="B165" s="9" t="s">
        <v>363</v>
      </c>
      <c r="C165" s="9" t="s">
        <v>364</v>
      </c>
      <c r="D165" s="9" t="s">
        <v>16</v>
      </c>
      <c r="E165" s="9" t="s">
        <v>17</v>
      </c>
      <c r="F165" s="10">
        <v>37940</v>
      </c>
      <c r="G165" s="7">
        <f t="shared" ca="1" si="8"/>
        <v>22.477777777777778</v>
      </c>
      <c r="H165" s="9" t="s">
        <v>18</v>
      </c>
      <c r="I165" s="9" t="s">
        <v>19</v>
      </c>
      <c r="J165" s="9" t="s">
        <v>31</v>
      </c>
      <c r="K165" s="9" t="s">
        <v>21</v>
      </c>
      <c r="L165" s="10">
        <v>44887</v>
      </c>
      <c r="M165" s="9">
        <f t="shared" ca="1" si="9"/>
        <v>3.4583333333333335</v>
      </c>
      <c r="N165" s="9">
        <v>20332</v>
      </c>
      <c r="O165" s="9" t="str">
        <f t="shared" si="10"/>
        <v>نوفمبر</v>
      </c>
      <c r="P165" s="7" t="str">
        <f t="shared" si="11"/>
        <v>راتب طبيعي</v>
      </c>
    </row>
    <row r="166" spans="1:16" x14ac:dyDescent="0.3">
      <c r="A166" s="7">
        <v>59064</v>
      </c>
      <c r="B166" s="7" t="s">
        <v>365</v>
      </c>
      <c r="C166" s="7" t="s">
        <v>366</v>
      </c>
      <c r="D166" s="7" t="s">
        <v>40</v>
      </c>
      <c r="E166" s="7" t="s">
        <v>17</v>
      </c>
      <c r="F166" s="8">
        <v>37696</v>
      </c>
      <c r="G166" s="7">
        <f t="shared" ca="1" si="8"/>
        <v>23.141666666666666</v>
      </c>
      <c r="H166" s="7" t="s">
        <v>36</v>
      </c>
      <c r="I166" s="7" t="s">
        <v>46</v>
      </c>
      <c r="J166" s="7" t="s">
        <v>31</v>
      </c>
      <c r="K166" s="7" t="s">
        <v>21</v>
      </c>
      <c r="L166" s="8">
        <v>44888</v>
      </c>
      <c r="M166" s="7">
        <f t="shared" ca="1" si="9"/>
        <v>3.4555555555555557</v>
      </c>
      <c r="N166" s="7">
        <v>13702</v>
      </c>
      <c r="O166" s="7" t="str">
        <f t="shared" si="10"/>
        <v>نوفمبر</v>
      </c>
      <c r="P166" s="7" t="str">
        <f t="shared" si="11"/>
        <v>راتب طبيعي</v>
      </c>
    </row>
    <row r="167" spans="1:16" x14ac:dyDescent="0.3">
      <c r="A167" s="9">
        <v>53159</v>
      </c>
      <c r="B167" s="9" t="s">
        <v>367</v>
      </c>
      <c r="C167" s="9" t="s">
        <v>368</v>
      </c>
      <c r="D167" s="9" t="s">
        <v>43</v>
      </c>
      <c r="E167" s="9" t="s">
        <v>17</v>
      </c>
      <c r="F167" s="10">
        <v>37792</v>
      </c>
      <c r="G167" s="7">
        <f t="shared" ca="1" si="8"/>
        <v>22.880555555555556</v>
      </c>
      <c r="H167" s="9" t="s">
        <v>18</v>
      </c>
      <c r="I167" s="9" t="s">
        <v>25</v>
      </c>
      <c r="J167" s="9" t="s">
        <v>20</v>
      </c>
      <c r="K167" s="9" t="s">
        <v>21</v>
      </c>
      <c r="L167" s="10">
        <v>44889</v>
      </c>
      <c r="M167" s="9">
        <f t="shared" ca="1" si="9"/>
        <v>3.4527777777777779</v>
      </c>
      <c r="N167" s="9">
        <v>6781</v>
      </c>
      <c r="O167" s="9" t="str">
        <f t="shared" si="10"/>
        <v>نوفمبر</v>
      </c>
      <c r="P167" s="7" t="str">
        <f t="shared" si="11"/>
        <v>راتب طبيعي</v>
      </c>
    </row>
    <row r="168" spans="1:16" x14ac:dyDescent="0.3">
      <c r="A168" s="7">
        <v>57529</v>
      </c>
      <c r="B168" s="7" t="s">
        <v>369</v>
      </c>
      <c r="C168" s="7" t="s">
        <v>370</v>
      </c>
      <c r="D168" s="7" t="s">
        <v>16</v>
      </c>
      <c r="E168" s="7" t="s">
        <v>17</v>
      </c>
      <c r="F168" s="8">
        <v>37654</v>
      </c>
      <c r="G168" s="7">
        <f t="shared" ca="1" si="8"/>
        <v>23.263888888888889</v>
      </c>
      <c r="H168" s="7" t="s">
        <v>18</v>
      </c>
      <c r="I168" s="7" t="s">
        <v>25</v>
      </c>
      <c r="J168" s="7" t="s">
        <v>27</v>
      </c>
      <c r="K168" s="7" t="s">
        <v>21</v>
      </c>
      <c r="L168" s="8">
        <v>44890</v>
      </c>
      <c r="M168" s="7">
        <f t="shared" ca="1" si="9"/>
        <v>3.45</v>
      </c>
      <c r="N168" s="7">
        <v>3054</v>
      </c>
      <c r="O168" s="7" t="str">
        <f t="shared" si="10"/>
        <v>نوفمبر</v>
      </c>
      <c r="P168" s="7" t="str">
        <f t="shared" si="11"/>
        <v>راتب عالي</v>
      </c>
    </row>
    <row r="169" spans="1:16" x14ac:dyDescent="0.3">
      <c r="A169" s="9">
        <v>56812</v>
      </c>
      <c r="B169" s="9" t="s">
        <v>371</v>
      </c>
      <c r="C169" s="9" t="s">
        <v>372</v>
      </c>
      <c r="D169" s="9" t="s">
        <v>40</v>
      </c>
      <c r="E169" s="9" t="s">
        <v>17</v>
      </c>
      <c r="F169" s="10">
        <v>37953</v>
      </c>
      <c r="G169" s="7">
        <f t="shared" ca="1" si="8"/>
        <v>22.441666666666666</v>
      </c>
      <c r="H169" s="9" t="s">
        <v>18</v>
      </c>
      <c r="I169" s="9" t="s">
        <v>25</v>
      </c>
      <c r="J169" s="9" t="s">
        <v>31</v>
      </c>
      <c r="K169" s="9" t="s">
        <v>21</v>
      </c>
      <c r="L169" s="10">
        <v>44891</v>
      </c>
      <c r="M169" s="9">
        <f t="shared" ca="1" si="9"/>
        <v>3.4472222222222224</v>
      </c>
      <c r="N169" s="9">
        <v>5141</v>
      </c>
      <c r="O169" s="9" t="str">
        <f t="shared" si="10"/>
        <v>نوفمبر</v>
      </c>
      <c r="P169" s="7" t="str">
        <f t="shared" si="11"/>
        <v>راتب عالي</v>
      </c>
    </row>
    <row r="170" spans="1:16" x14ac:dyDescent="0.3">
      <c r="A170" s="7">
        <v>56509</v>
      </c>
      <c r="B170" s="7" t="s">
        <v>373</v>
      </c>
      <c r="C170" s="7" t="s">
        <v>374</v>
      </c>
      <c r="D170" s="7" t="s">
        <v>30</v>
      </c>
      <c r="E170" s="7" t="s">
        <v>17</v>
      </c>
      <c r="F170" s="8">
        <v>37970</v>
      </c>
      <c r="G170" s="7">
        <f t="shared" ca="1" si="8"/>
        <v>22.394444444444446</v>
      </c>
      <c r="H170" s="7" t="s">
        <v>18</v>
      </c>
      <c r="I170" s="7" t="s">
        <v>19</v>
      </c>
      <c r="J170" s="7" t="s">
        <v>27</v>
      </c>
      <c r="K170" s="7" t="s">
        <v>21</v>
      </c>
      <c r="L170" s="8">
        <v>44892</v>
      </c>
      <c r="M170" s="7">
        <f t="shared" ca="1" si="9"/>
        <v>3.4444444444444446</v>
      </c>
      <c r="N170" s="7">
        <v>27462</v>
      </c>
      <c r="O170" s="7" t="str">
        <f t="shared" si="10"/>
        <v>نوفمبر</v>
      </c>
      <c r="P170" s="7" t="str">
        <f t="shared" si="11"/>
        <v>راتب طبيعي</v>
      </c>
    </row>
    <row r="171" spans="1:16" x14ac:dyDescent="0.3">
      <c r="A171" s="9">
        <v>55886</v>
      </c>
      <c r="B171" s="9" t="s">
        <v>375</v>
      </c>
      <c r="C171" s="9" t="s">
        <v>376</v>
      </c>
      <c r="D171" s="9" t="s">
        <v>30</v>
      </c>
      <c r="E171" s="9" t="s">
        <v>17</v>
      </c>
      <c r="F171" s="10">
        <v>37765</v>
      </c>
      <c r="G171" s="7">
        <f t="shared" ca="1" si="8"/>
        <v>22.952777777777779</v>
      </c>
      <c r="H171" s="9" t="s">
        <v>18</v>
      </c>
      <c r="I171" s="9" t="s">
        <v>25</v>
      </c>
      <c r="J171" s="9" t="s">
        <v>27</v>
      </c>
      <c r="K171" s="9" t="s">
        <v>21</v>
      </c>
      <c r="L171" s="10">
        <v>44893</v>
      </c>
      <c r="M171" s="9">
        <f t="shared" ca="1" si="9"/>
        <v>3.4416666666666669</v>
      </c>
      <c r="N171" s="9">
        <v>4663</v>
      </c>
      <c r="O171" s="9" t="str">
        <f t="shared" si="10"/>
        <v>نوفمبر</v>
      </c>
      <c r="P171" s="7" t="str">
        <f t="shared" si="11"/>
        <v>راتب عالي</v>
      </c>
    </row>
    <row r="172" spans="1:16" x14ac:dyDescent="0.3">
      <c r="A172" s="7">
        <v>54172</v>
      </c>
      <c r="B172" s="7" t="s">
        <v>377</v>
      </c>
      <c r="C172" s="7" t="s">
        <v>378</v>
      </c>
      <c r="D172" s="7" t="s">
        <v>34</v>
      </c>
      <c r="E172" s="7" t="s">
        <v>17</v>
      </c>
      <c r="F172" s="8">
        <v>37895</v>
      </c>
      <c r="G172" s="7">
        <f t="shared" ca="1" si="8"/>
        <v>22.6</v>
      </c>
      <c r="H172" s="7" t="s">
        <v>36</v>
      </c>
      <c r="I172" s="7" t="s">
        <v>25</v>
      </c>
      <c r="J172" s="7" t="s">
        <v>31</v>
      </c>
      <c r="K172" s="7" t="s">
        <v>21</v>
      </c>
      <c r="L172" s="8">
        <v>44894</v>
      </c>
      <c r="M172" s="7">
        <f t="shared" ca="1" si="9"/>
        <v>3.4388888888888891</v>
      </c>
      <c r="N172" s="7">
        <v>3298</v>
      </c>
      <c r="O172" s="7" t="str">
        <f t="shared" si="10"/>
        <v>نوفمبر</v>
      </c>
      <c r="P172" s="7" t="str">
        <f t="shared" si="11"/>
        <v>راتب عالي</v>
      </c>
    </row>
    <row r="173" spans="1:16" x14ac:dyDescent="0.3">
      <c r="A173" s="9">
        <v>51287</v>
      </c>
      <c r="B173" s="9" t="s">
        <v>379</v>
      </c>
      <c r="C173" s="9" t="s">
        <v>380</v>
      </c>
      <c r="D173" s="9" t="s">
        <v>53</v>
      </c>
      <c r="E173" s="9" t="s">
        <v>17</v>
      </c>
      <c r="F173" s="10">
        <v>37630</v>
      </c>
      <c r="G173" s="7">
        <f t="shared" ca="1" si="8"/>
        <v>23.327777777777779</v>
      </c>
      <c r="H173" s="9" t="s">
        <v>36</v>
      </c>
      <c r="I173" s="9" t="s">
        <v>25</v>
      </c>
      <c r="J173" s="9" t="s">
        <v>20</v>
      </c>
      <c r="K173" s="9" t="s">
        <v>21</v>
      </c>
      <c r="L173" s="10">
        <v>44895</v>
      </c>
      <c r="M173" s="9">
        <f t="shared" ca="1" si="9"/>
        <v>3.4361111111111109</v>
      </c>
      <c r="N173" s="9">
        <v>3746</v>
      </c>
      <c r="O173" s="9" t="str">
        <f t="shared" si="10"/>
        <v>نوفمبر</v>
      </c>
      <c r="P173" s="7" t="str">
        <f t="shared" si="11"/>
        <v>راتب عالي</v>
      </c>
    </row>
    <row r="174" spans="1:16" x14ac:dyDescent="0.3">
      <c r="A174" s="7">
        <v>53493</v>
      </c>
      <c r="B174" s="7" t="s">
        <v>381</v>
      </c>
      <c r="C174" s="7" t="s">
        <v>382</v>
      </c>
      <c r="D174" s="7" t="s">
        <v>34</v>
      </c>
      <c r="E174" s="7" t="s">
        <v>17</v>
      </c>
      <c r="F174" s="8">
        <v>37633</v>
      </c>
      <c r="G174" s="7">
        <f t="shared" ca="1" si="8"/>
        <v>23.319444444444443</v>
      </c>
      <c r="H174" s="7" t="s">
        <v>36</v>
      </c>
      <c r="I174" s="7" t="s">
        <v>46</v>
      </c>
      <c r="J174" s="7" t="s">
        <v>27</v>
      </c>
      <c r="K174" s="7" t="s">
        <v>21</v>
      </c>
      <c r="L174" s="8">
        <v>44896</v>
      </c>
      <c r="M174" s="7">
        <f t="shared" ca="1" si="9"/>
        <v>3.4333333333333331</v>
      </c>
      <c r="N174" s="7">
        <v>11869</v>
      </c>
      <c r="O174" s="7" t="str">
        <f t="shared" si="10"/>
        <v>ديسمبر</v>
      </c>
      <c r="P174" s="7" t="str">
        <f t="shared" si="11"/>
        <v>راتب طبيعي</v>
      </c>
    </row>
    <row r="175" spans="1:16" x14ac:dyDescent="0.3">
      <c r="A175" s="9">
        <v>59702</v>
      </c>
      <c r="B175" s="9" t="s">
        <v>383</v>
      </c>
      <c r="C175" s="9" t="s">
        <v>384</v>
      </c>
      <c r="D175" s="9" t="s">
        <v>16</v>
      </c>
      <c r="E175" s="9" t="s">
        <v>17</v>
      </c>
      <c r="F175" s="10">
        <v>37857</v>
      </c>
      <c r="G175" s="7">
        <f t="shared" ca="1" si="8"/>
        <v>22.702777777777779</v>
      </c>
      <c r="H175" s="9" t="s">
        <v>18</v>
      </c>
      <c r="I175" s="9" t="s">
        <v>19</v>
      </c>
      <c r="J175" s="9" t="s">
        <v>31</v>
      </c>
      <c r="K175" s="9" t="s">
        <v>21</v>
      </c>
      <c r="L175" s="10">
        <v>44897</v>
      </c>
      <c r="M175" s="9">
        <f t="shared" ca="1" si="9"/>
        <v>3.4305555555555554</v>
      </c>
      <c r="N175" s="9">
        <v>18667</v>
      </c>
      <c r="O175" s="9" t="str">
        <f t="shared" si="10"/>
        <v>ديسمبر</v>
      </c>
      <c r="P175" s="7" t="str">
        <f t="shared" si="11"/>
        <v>راتب طبيعي</v>
      </c>
    </row>
    <row r="176" spans="1:16" x14ac:dyDescent="0.3">
      <c r="A176" s="7">
        <v>56658</v>
      </c>
      <c r="B176" s="7" t="s">
        <v>385</v>
      </c>
      <c r="C176" s="7" t="s">
        <v>386</v>
      </c>
      <c r="D176" s="7" t="s">
        <v>53</v>
      </c>
      <c r="E176" s="7" t="s">
        <v>17</v>
      </c>
      <c r="F176" s="8">
        <v>37922</v>
      </c>
      <c r="G176" s="7">
        <f t="shared" ca="1" si="8"/>
        <v>22.524999999999999</v>
      </c>
      <c r="H176" s="7" t="s">
        <v>36</v>
      </c>
      <c r="I176" s="7" t="s">
        <v>25</v>
      </c>
      <c r="J176" s="7" t="s">
        <v>27</v>
      </c>
      <c r="K176" s="7" t="s">
        <v>21</v>
      </c>
      <c r="L176" s="8">
        <v>44898</v>
      </c>
      <c r="M176" s="7">
        <f t="shared" ca="1" si="9"/>
        <v>3.4277777777777776</v>
      </c>
      <c r="N176" s="7">
        <v>6822</v>
      </c>
      <c r="O176" s="7" t="str">
        <f t="shared" si="10"/>
        <v>ديسمبر</v>
      </c>
      <c r="P176" s="7" t="str">
        <f t="shared" si="11"/>
        <v>راتب طبيعي</v>
      </c>
    </row>
    <row r="177" spans="1:16" x14ac:dyDescent="0.3">
      <c r="A177" s="9">
        <v>55515</v>
      </c>
      <c r="B177" s="9" t="s">
        <v>387</v>
      </c>
      <c r="C177" s="9" t="s">
        <v>388</v>
      </c>
      <c r="D177" s="9" t="s">
        <v>16</v>
      </c>
      <c r="E177" s="9" t="s">
        <v>17</v>
      </c>
      <c r="F177" s="10">
        <v>37835</v>
      </c>
      <c r="G177" s="7">
        <f t="shared" ca="1" si="8"/>
        <v>22.763888888888889</v>
      </c>
      <c r="H177" s="9" t="s">
        <v>18</v>
      </c>
      <c r="I177" s="9" t="s">
        <v>46</v>
      </c>
      <c r="J177" s="9" t="s">
        <v>31</v>
      </c>
      <c r="K177" s="9" t="s">
        <v>21</v>
      </c>
      <c r="L177" s="10">
        <v>44899</v>
      </c>
      <c r="M177" s="9">
        <f t="shared" ca="1" si="9"/>
        <v>3.4249999999999998</v>
      </c>
      <c r="N177" s="9">
        <v>10566</v>
      </c>
      <c r="O177" s="9" t="str">
        <f t="shared" si="10"/>
        <v>ديسمبر</v>
      </c>
      <c r="P177" s="7" t="str">
        <f t="shared" si="11"/>
        <v>راتب طبيعي</v>
      </c>
    </row>
    <row r="178" spans="1:16" x14ac:dyDescent="0.3">
      <c r="A178" s="7">
        <v>52026</v>
      </c>
      <c r="B178" s="7" t="s">
        <v>389</v>
      </c>
      <c r="C178" s="7" t="s">
        <v>390</v>
      </c>
      <c r="D178" s="7" t="s">
        <v>40</v>
      </c>
      <c r="E178" s="7" t="s">
        <v>17</v>
      </c>
      <c r="F178" s="8">
        <v>37970</v>
      </c>
      <c r="G178" s="7">
        <f t="shared" ca="1" si="8"/>
        <v>22.394444444444446</v>
      </c>
      <c r="H178" s="7" t="s">
        <v>18</v>
      </c>
      <c r="I178" s="7" t="s">
        <v>25</v>
      </c>
      <c r="J178" s="7" t="s">
        <v>31</v>
      </c>
      <c r="K178" s="7" t="s">
        <v>21</v>
      </c>
      <c r="L178" s="8">
        <v>44900</v>
      </c>
      <c r="M178" s="7">
        <f t="shared" ca="1" si="9"/>
        <v>3.4222222222222221</v>
      </c>
      <c r="N178" s="7">
        <v>5813</v>
      </c>
      <c r="O178" s="7" t="str">
        <f t="shared" si="10"/>
        <v>ديسمبر</v>
      </c>
      <c r="P178" s="7" t="str">
        <f t="shared" si="11"/>
        <v>راتب عالي</v>
      </c>
    </row>
    <row r="179" spans="1:16" x14ac:dyDescent="0.3">
      <c r="A179" s="9">
        <v>59712</v>
      </c>
      <c r="B179" s="9" t="s">
        <v>391</v>
      </c>
      <c r="C179" s="9" t="s">
        <v>392</v>
      </c>
      <c r="D179" s="9" t="s">
        <v>30</v>
      </c>
      <c r="E179" s="9" t="s">
        <v>17</v>
      </c>
      <c r="F179" s="10">
        <v>37718</v>
      </c>
      <c r="G179" s="7">
        <f t="shared" ca="1" si="8"/>
        <v>23.083333333333332</v>
      </c>
      <c r="H179" s="9" t="s">
        <v>36</v>
      </c>
      <c r="I179" s="9" t="s">
        <v>25</v>
      </c>
      <c r="J179" s="9" t="s">
        <v>20</v>
      </c>
      <c r="K179" s="9" t="s">
        <v>21</v>
      </c>
      <c r="L179" s="10">
        <v>44901</v>
      </c>
      <c r="M179" s="9">
        <f t="shared" ca="1" si="9"/>
        <v>3.4194444444444443</v>
      </c>
      <c r="N179" s="9">
        <v>6886</v>
      </c>
      <c r="O179" s="9" t="str">
        <f t="shared" si="10"/>
        <v>ديسمبر</v>
      </c>
      <c r="P179" s="7" t="str">
        <f t="shared" si="11"/>
        <v>راتب طبيعي</v>
      </c>
    </row>
    <row r="180" spans="1:16" x14ac:dyDescent="0.3">
      <c r="A180" s="7">
        <v>50379</v>
      </c>
      <c r="B180" s="7" t="s">
        <v>393</v>
      </c>
      <c r="C180" s="7" t="s">
        <v>394</v>
      </c>
      <c r="D180" s="7" t="s">
        <v>43</v>
      </c>
      <c r="E180" s="7" t="s">
        <v>17</v>
      </c>
      <c r="F180" s="8">
        <v>37654</v>
      </c>
      <c r="G180" s="7">
        <f t="shared" ca="1" si="8"/>
        <v>23.263888888888889</v>
      </c>
      <c r="H180" s="7" t="s">
        <v>18</v>
      </c>
      <c r="I180" s="7" t="s">
        <v>19</v>
      </c>
      <c r="J180" s="7" t="s">
        <v>27</v>
      </c>
      <c r="K180" s="7" t="s">
        <v>21</v>
      </c>
      <c r="L180" s="8">
        <v>44902</v>
      </c>
      <c r="M180" s="7">
        <f t="shared" ca="1" si="9"/>
        <v>3.4166666666666665</v>
      </c>
      <c r="N180" s="7">
        <v>19299</v>
      </c>
      <c r="O180" s="7" t="str">
        <f t="shared" si="10"/>
        <v>ديسمبر</v>
      </c>
      <c r="P180" s="7" t="str">
        <f t="shared" si="11"/>
        <v>راتب طبيعي</v>
      </c>
    </row>
    <row r="181" spans="1:16" x14ac:dyDescent="0.3">
      <c r="A181" s="9">
        <v>52832</v>
      </c>
      <c r="B181" s="9" t="s">
        <v>395</v>
      </c>
      <c r="C181" s="9" t="s">
        <v>396</v>
      </c>
      <c r="D181" s="9" t="s">
        <v>95</v>
      </c>
      <c r="E181" s="9" t="s">
        <v>17</v>
      </c>
      <c r="F181" s="10">
        <v>37677</v>
      </c>
      <c r="G181" s="7">
        <f t="shared" ca="1" si="8"/>
        <v>23.2</v>
      </c>
      <c r="H181" s="9" t="s">
        <v>36</v>
      </c>
      <c r="I181" s="9" t="s">
        <v>25</v>
      </c>
      <c r="J181" s="9" t="s">
        <v>27</v>
      </c>
      <c r="K181" s="9" t="s">
        <v>21</v>
      </c>
      <c r="L181" s="10">
        <v>44903</v>
      </c>
      <c r="M181" s="9">
        <f t="shared" ca="1" si="9"/>
        <v>3.4138888888888888</v>
      </c>
      <c r="N181" s="9">
        <v>5680</v>
      </c>
      <c r="O181" s="9" t="str">
        <f t="shared" si="10"/>
        <v>ديسمبر</v>
      </c>
      <c r="P181" s="7" t="str">
        <f t="shared" si="11"/>
        <v>راتب عالي</v>
      </c>
    </row>
    <row r="182" spans="1:16" x14ac:dyDescent="0.3">
      <c r="A182" s="7">
        <v>52550</v>
      </c>
      <c r="B182" s="7" t="s">
        <v>397</v>
      </c>
      <c r="C182" s="7" t="s">
        <v>398</v>
      </c>
      <c r="D182" s="7" t="s">
        <v>66</v>
      </c>
      <c r="E182" s="7" t="s">
        <v>17</v>
      </c>
      <c r="F182" s="8">
        <v>37892</v>
      </c>
      <c r="G182" s="7">
        <f t="shared" ca="1" si="8"/>
        <v>22.608333333333334</v>
      </c>
      <c r="H182" s="7" t="s">
        <v>36</v>
      </c>
      <c r="I182" s="7" t="s">
        <v>19</v>
      </c>
      <c r="J182" s="7" t="s">
        <v>21</v>
      </c>
      <c r="K182" s="7" t="s">
        <v>21</v>
      </c>
      <c r="L182" s="8">
        <v>44904</v>
      </c>
      <c r="M182" s="7">
        <f t="shared" ca="1" si="9"/>
        <v>3.411111111111111</v>
      </c>
      <c r="N182" s="7">
        <v>23973</v>
      </c>
      <c r="O182" s="7" t="str">
        <f t="shared" si="10"/>
        <v>ديسمبر</v>
      </c>
      <c r="P182" s="7" t="str">
        <f t="shared" si="11"/>
        <v>راتب طبيعي</v>
      </c>
    </row>
    <row r="183" spans="1:16" x14ac:dyDescent="0.3">
      <c r="A183" s="9">
        <v>55897</v>
      </c>
      <c r="B183" s="9" t="s">
        <v>399</v>
      </c>
      <c r="C183" s="9" t="s">
        <v>400</v>
      </c>
      <c r="D183" s="9" t="s">
        <v>40</v>
      </c>
      <c r="E183" s="9" t="s">
        <v>17</v>
      </c>
      <c r="F183" s="10">
        <v>37929</v>
      </c>
      <c r="G183" s="7">
        <f t="shared" ca="1" si="8"/>
        <v>22.508333333333333</v>
      </c>
      <c r="H183" s="9" t="s">
        <v>36</v>
      </c>
      <c r="I183" s="9" t="s">
        <v>46</v>
      </c>
      <c r="J183" s="9" t="s">
        <v>20</v>
      </c>
      <c r="K183" s="9" t="s">
        <v>21</v>
      </c>
      <c r="L183" s="10">
        <v>44905</v>
      </c>
      <c r="M183" s="9">
        <f t="shared" ca="1" si="9"/>
        <v>3.4083333333333332</v>
      </c>
      <c r="N183" s="9">
        <v>10547</v>
      </c>
      <c r="O183" s="9" t="str">
        <f t="shared" si="10"/>
        <v>ديسمبر</v>
      </c>
      <c r="P183" s="7" t="str">
        <f t="shared" si="11"/>
        <v>راتب طبيعي</v>
      </c>
    </row>
    <row r="184" spans="1:16" x14ac:dyDescent="0.3">
      <c r="A184" s="7">
        <v>55408</v>
      </c>
      <c r="B184" s="7" t="s">
        <v>401</v>
      </c>
      <c r="C184" s="7" t="s">
        <v>402</v>
      </c>
      <c r="D184" s="7" t="s">
        <v>40</v>
      </c>
      <c r="E184" s="7" t="s">
        <v>17</v>
      </c>
      <c r="F184" s="8">
        <v>37848</v>
      </c>
      <c r="G184" s="7">
        <f t="shared" ca="1" si="8"/>
        <v>22.727777777777778</v>
      </c>
      <c r="H184" s="7" t="s">
        <v>18</v>
      </c>
      <c r="I184" s="7" t="s">
        <v>25</v>
      </c>
      <c r="J184" s="7" t="s">
        <v>21</v>
      </c>
      <c r="K184" s="7" t="s">
        <v>21</v>
      </c>
      <c r="L184" s="8">
        <v>44906</v>
      </c>
      <c r="M184" s="7">
        <f t="shared" ca="1" si="9"/>
        <v>3.4055555555555554</v>
      </c>
      <c r="N184" s="7">
        <v>4339</v>
      </c>
      <c r="O184" s="7" t="str">
        <f t="shared" si="10"/>
        <v>ديسمبر</v>
      </c>
      <c r="P184" s="7" t="str">
        <f t="shared" si="11"/>
        <v>راتب عالي</v>
      </c>
    </row>
    <row r="185" spans="1:16" x14ac:dyDescent="0.3">
      <c r="A185" s="9">
        <v>57635</v>
      </c>
      <c r="B185" s="9" t="s">
        <v>403</v>
      </c>
      <c r="C185" s="9" t="s">
        <v>404</v>
      </c>
      <c r="D185" s="9" t="s">
        <v>40</v>
      </c>
      <c r="E185" s="9" t="s">
        <v>17</v>
      </c>
      <c r="F185" s="10">
        <v>37920</v>
      </c>
      <c r="G185" s="7">
        <f t="shared" ca="1" si="8"/>
        <v>22.530555555555555</v>
      </c>
      <c r="H185" s="9" t="s">
        <v>18</v>
      </c>
      <c r="I185" s="9" t="s">
        <v>19</v>
      </c>
      <c r="J185" s="9" t="s">
        <v>31</v>
      </c>
      <c r="K185" s="9" t="s">
        <v>21</v>
      </c>
      <c r="L185" s="10">
        <v>44907</v>
      </c>
      <c r="M185" s="9">
        <f t="shared" ca="1" si="9"/>
        <v>3.4027777777777777</v>
      </c>
      <c r="N185" s="9">
        <v>29179</v>
      </c>
      <c r="O185" s="9" t="str">
        <f t="shared" si="10"/>
        <v>ديسمبر</v>
      </c>
      <c r="P185" s="7" t="str">
        <f t="shared" si="11"/>
        <v>راتب طبيعي</v>
      </c>
    </row>
    <row r="186" spans="1:16" x14ac:dyDescent="0.3">
      <c r="A186" s="7">
        <v>52248</v>
      </c>
      <c r="B186" s="7" t="s">
        <v>405</v>
      </c>
      <c r="C186" s="7" t="s">
        <v>406</v>
      </c>
      <c r="D186" s="7" t="s">
        <v>40</v>
      </c>
      <c r="E186" s="7" t="s">
        <v>17</v>
      </c>
      <c r="F186" s="8">
        <v>37820</v>
      </c>
      <c r="G186" s="7">
        <f t="shared" ca="1" si="8"/>
        <v>22.802777777777777</v>
      </c>
      <c r="H186" s="7" t="s">
        <v>18</v>
      </c>
      <c r="I186" s="7" t="s">
        <v>19</v>
      </c>
      <c r="J186" s="7" t="s">
        <v>31</v>
      </c>
      <c r="K186" s="7" t="s">
        <v>21</v>
      </c>
      <c r="L186" s="8">
        <v>44908</v>
      </c>
      <c r="M186" s="7">
        <f t="shared" ca="1" si="9"/>
        <v>3.4</v>
      </c>
      <c r="N186" s="7">
        <v>25361</v>
      </c>
      <c r="O186" s="7" t="str">
        <f t="shared" si="10"/>
        <v>ديسمبر</v>
      </c>
      <c r="P186" s="7" t="str">
        <f t="shared" si="11"/>
        <v>راتب طبيعي</v>
      </c>
    </row>
    <row r="187" spans="1:16" x14ac:dyDescent="0.3">
      <c r="A187" s="9">
        <v>56358</v>
      </c>
      <c r="B187" s="9" t="s">
        <v>407</v>
      </c>
      <c r="C187" s="9" t="s">
        <v>408</v>
      </c>
      <c r="D187" s="9" t="s">
        <v>43</v>
      </c>
      <c r="E187" s="9" t="s">
        <v>17</v>
      </c>
      <c r="F187" s="10">
        <v>37980</v>
      </c>
      <c r="G187" s="7">
        <f t="shared" ca="1" si="8"/>
        <v>22.366666666666667</v>
      </c>
      <c r="H187" s="9" t="s">
        <v>18</v>
      </c>
      <c r="I187" s="9" t="s">
        <v>19</v>
      </c>
      <c r="J187" s="9" t="s">
        <v>26</v>
      </c>
      <c r="K187" s="9" t="s">
        <v>21</v>
      </c>
      <c r="L187" s="10">
        <v>44909</v>
      </c>
      <c r="M187" s="9">
        <f t="shared" ca="1" si="9"/>
        <v>3.3972222222222221</v>
      </c>
      <c r="N187" s="9">
        <v>24463</v>
      </c>
      <c r="O187" s="9" t="str">
        <f t="shared" si="10"/>
        <v>ديسمبر</v>
      </c>
      <c r="P187" s="7" t="str">
        <f t="shared" si="11"/>
        <v>راتب طبيعي</v>
      </c>
    </row>
    <row r="188" spans="1:16" x14ac:dyDescent="0.3">
      <c r="A188" s="7">
        <v>57410</v>
      </c>
      <c r="B188" s="7" t="s">
        <v>409</v>
      </c>
      <c r="C188" s="7" t="s">
        <v>410</v>
      </c>
      <c r="D188" s="7" t="s">
        <v>16</v>
      </c>
      <c r="E188" s="7" t="s">
        <v>17</v>
      </c>
      <c r="F188" s="8">
        <v>37719</v>
      </c>
      <c r="G188" s="7">
        <f t="shared" ca="1" si="8"/>
        <v>23.080555555555556</v>
      </c>
      <c r="H188" s="7" t="s">
        <v>36</v>
      </c>
      <c r="I188" s="7" t="s">
        <v>46</v>
      </c>
      <c r="J188" s="7" t="s">
        <v>20</v>
      </c>
      <c r="K188" s="7" t="s">
        <v>21</v>
      </c>
      <c r="L188" s="8">
        <v>44910</v>
      </c>
      <c r="M188" s="7">
        <f t="shared" ca="1" si="9"/>
        <v>3.3944444444444444</v>
      </c>
      <c r="N188" s="7">
        <v>10684</v>
      </c>
      <c r="O188" s="7" t="str">
        <f t="shared" si="10"/>
        <v>ديسمبر</v>
      </c>
      <c r="P188" s="7" t="str">
        <f t="shared" si="11"/>
        <v>راتب طبيعي</v>
      </c>
    </row>
    <row r="189" spans="1:16" x14ac:dyDescent="0.3">
      <c r="A189" s="9">
        <v>56278</v>
      </c>
      <c r="B189" s="9" t="s">
        <v>411</v>
      </c>
      <c r="C189" s="9" t="s">
        <v>412</v>
      </c>
      <c r="D189" s="9" t="s">
        <v>34</v>
      </c>
      <c r="E189" s="9" t="s">
        <v>17</v>
      </c>
      <c r="F189" s="10">
        <v>37624</v>
      </c>
      <c r="G189" s="7">
        <f t="shared" ca="1" si="8"/>
        <v>23.344444444444445</v>
      </c>
      <c r="H189" s="9" t="s">
        <v>18</v>
      </c>
      <c r="I189" s="9" t="s">
        <v>19</v>
      </c>
      <c r="J189" s="9" t="s">
        <v>20</v>
      </c>
      <c r="K189" s="9" t="s">
        <v>21</v>
      </c>
      <c r="L189" s="10">
        <v>44911</v>
      </c>
      <c r="M189" s="9">
        <f t="shared" ca="1" si="9"/>
        <v>3.3916666666666666</v>
      </c>
      <c r="N189" s="9">
        <v>28950</v>
      </c>
      <c r="O189" s="9" t="str">
        <f t="shared" si="10"/>
        <v>ديسمبر</v>
      </c>
      <c r="P189" s="7" t="str">
        <f t="shared" si="11"/>
        <v>راتب طبيعي</v>
      </c>
    </row>
    <row r="190" spans="1:16" x14ac:dyDescent="0.3">
      <c r="A190" s="7">
        <v>50080</v>
      </c>
      <c r="B190" s="7" t="s">
        <v>413</v>
      </c>
      <c r="C190" s="7" t="s">
        <v>414</v>
      </c>
      <c r="D190" s="7" t="s">
        <v>43</v>
      </c>
      <c r="E190" s="7" t="s">
        <v>17</v>
      </c>
      <c r="F190" s="8">
        <v>37716</v>
      </c>
      <c r="G190" s="7">
        <f t="shared" ca="1" si="8"/>
        <v>23.088888888888889</v>
      </c>
      <c r="H190" s="7" t="s">
        <v>18</v>
      </c>
      <c r="I190" s="7" t="s">
        <v>25</v>
      </c>
      <c r="J190" s="7" t="s">
        <v>26</v>
      </c>
      <c r="K190" s="7" t="s">
        <v>21</v>
      </c>
      <c r="L190" s="8">
        <v>44912</v>
      </c>
      <c r="M190" s="7">
        <f t="shared" ca="1" si="9"/>
        <v>3.3888888888888888</v>
      </c>
      <c r="N190" s="7">
        <v>4979</v>
      </c>
      <c r="O190" s="7" t="str">
        <f t="shared" si="10"/>
        <v>ديسمبر</v>
      </c>
      <c r="P190" s="7" t="str">
        <f t="shared" si="11"/>
        <v>راتب عالي</v>
      </c>
    </row>
    <row r="191" spans="1:16" x14ac:dyDescent="0.3">
      <c r="A191" s="9">
        <v>55701</v>
      </c>
      <c r="B191" s="9" t="s">
        <v>415</v>
      </c>
      <c r="C191" s="9" t="s">
        <v>416</v>
      </c>
      <c r="D191" s="9" t="s">
        <v>95</v>
      </c>
      <c r="E191" s="9" t="s">
        <v>17</v>
      </c>
      <c r="F191" s="10">
        <v>37788</v>
      </c>
      <c r="G191" s="7">
        <f t="shared" ca="1" si="8"/>
        <v>22.891666666666666</v>
      </c>
      <c r="H191" s="9" t="s">
        <v>18</v>
      </c>
      <c r="I191" s="9" t="s">
        <v>46</v>
      </c>
      <c r="J191" s="9" t="s">
        <v>21</v>
      </c>
      <c r="K191" s="9" t="s">
        <v>21</v>
      </c>
      <c r="L191" s="10">
        <v>44913</v>
      </c>
      <c r="M191" s="9">
        <f t="shared" ca="1" si="9"/>
        <v>3.3861111111111111</v>
      </c>
      <c r="N191" s="9">
        <v>12572</v>
      </c>
      <c r="O191" s="9" t="str">
        <f t="shared" si="10"/>
        <v>ديسمبر</v>
      </c>
      <c r="P191" s="7" t="str">
        <f t="shared" si="11"/>
        <v>راتب طبيعي</v>
      </c>
    </row>
    <row r="192" spans="1:16" x14ac:dyDescent="0.3">
      <c r="A192" s="7">
        <v>55890</v>
      </c>
      <c r="B192" s="7" t="s">
        <v>417</v>
      </c>
      <c r="C192" s="7" t="s">
        <v>418</v>
      </c>
      <c r="D192" s="7" t="s">
        <v>146</v>
      </c>
      <c r="E192" s="7" t="s">
        <v>17</v>
      </c>
      <c r="F192" s="8">
        <v>35659</v>
      </c>
      <c r="G192" s="7">
        <f t="shared" ca="1" si="8"/>
        <v>28.722222222222221</v>
      </c>
      <c r="H192" s="7" t="s">
        <v>18</v>
      </c>
      <c r="I192" s="7" t="s">
        <v>25</v>
      </c>
      <c r="J192" s="7" t="s">
        <v>31</v>
      </c>
      <c r="K192" s="7" t="s">
        <v>21</v>
      </c>
      <c r="L192" s="8">
        <v>44914</v>
      </c>
      <c r="M192" s="7">
        <f t="shared" ca="1" si="9"/>
        <v>3.3833333333333333</v>
      </c>
      <c r="N192" s="7">
        <v>3985</v>
      </c>
      <c r="O192" s="7" t="str">
        <f t="shared" si="10"/>
        <v>ديسمبر</v>
      </c>
      <c r="P192" s="7" t="str">
        <f t="shared" si="11"/>
        <v>راتب عالي</v>
      </c>
    </row>
    <row r="193" spans="1:16" x14ac:dyDescent="0.3">
      <c r="A193" s="9">
        <v>55700</v>
      </c>
      <c r="B193" s="9" t="s">
        <v>419</v>
      </c>
      <c r="C193" s="9" t="s">
        <v>420</v>
      </c>
      <c r="D193" s="9" t="s">
        <v>66</v>
      </c>
      <c r="E193" s="9" t="s">
        <v>17</v>
      </c>
      <c r="F193" s="10">
        <v>34992</v>
      </c>
      <c r="G193" s="7">
        <f t="shared" ca="1" si="8"/>
        <v>30.547222222222221</v>
      </c>
      <c r="H193" s="9" t="s">
        <v>36</v>
      </c>
      <c r="I193" s="9" t="s">
        <v>25</v>
      </c>
      <c r="J193" s="9" t="s">
        <v>20</v>
      </c>
      <c r="K193" s="9" t="s">
        <v>21</v>
      </c>
      <c r="L193" s="10">
        <v>44915</v>
      </c>
      <c r="M193" s="9">
        <f t="shared" ca="1" si="9"/>
        <v>3.3805555555555555</v>
      </c>
      <c r="N193" s="9">
        <v>3223</v>
      </c>
      <c r="O193" s="9" t="str">
        <f t="shared" si="10"/>
        <v>ديسمبر</v>
      </c>
      <c r="P193" s="7" t="str">
        <f t="shared" si="11"/>
        <v>راتب عالي</v>
      </c>
    </row>
    <row r="194" spans="1:16" x14ac:dyDescent="0.3">
      <c r="A194" s="7">
        <v>59398</v>
      </c>
      <c r="B194" s="7" t="s">
        <v>421</v>
      </c>
      <c r="C194" s="7" t="s">
        <v>422</v>
      </c>
      <c r="D194" s="7" t="s">
        <v>40</v>
      </c>
      <c r="E194" s="7" t="s">
        <v>17</v>
      </c>
      <c r="F194" s="8">
        <v>37751</v>
      </c>
      <c r="G194" s="7">
        <f t="shared" ca="1" si="8"/>
        <v>22.991666666666667</v>
      </c>
      <c r="H194" s="7" t="s">
        <v>36</v>
      </c>
      <c r="I194" s="7" t="s">
        <v>25</v>
      </c>
      <c r="J194" s="7" t="s">
        <v>20</v>
      </c>
      <c r="K194" s="7" t="s">
        <v>21</v>
      </c>
      <c r="L194" s="8">
        <v>44916</v>
      </c>
      <c r="M194" s="7">
        <f t="shared" ca="1" si="9"/>
        <v>3.3777777777777778</v>
      </c>
      <c r="N194" s="7">
        <v>4591</v>
      </c>
      <c r="O194" s="7" t="str">
        <f t="shared" si="10"/>
        <v>ديسمبر</v>
      </c>
      <c r="P194" s="7" t="str">
        <f t="shared" si="11"/>
        <v>راتب عالي</v>
      </c>
    </row>
    <row r="195" spans="1:16" x14ac:dyDescent="0.3">
      <c r="A195" s="9">
        <v>58232</v>
      </c>
      <c r="B195" s="9" t="s">
        <v>423</v>
      </c>
      <c r="C195" s="9" t="s">
        <v>424</v>
      </c>
      <c r="D195" s="9" t="s">
        <v>40</v>
      </c>
      <c r="E195" s="9" t="s">
        <v>17</v>
      </c>
      <c r="F195" s="10">
        <v>36905</v>
      </c>
      <c r="G195" s="7">
        <f t="shared" ref="G195:G258" ca="1" si="12">YEARFRAC(F195,TODAY())</f>
        <v>25.31388888888889</v>
      </c>
      <c r="H195" s="9" t="s">
        <v>18</v>
      </c>
      <c r="I195" s="9" t="s">
        <v>25</v>
      </c>
      <c r="J195" s="9" t="s">
        <v>31</v>
      </c>
      <c r="K195" s="9" t="s">
        <v>21</v>
      </c>
      <c r="L195" s="10">
        <v>44917</v>
      </c>
      <c r="M195" s="9">
        <f t="shared" ref="M195:M258" ca="1" si="13">YEARFRAC(L195,TODAY())</f>
        <v>3.375</v>
      </c>
      <c r="N195" s="9">
        <v>3416</v>
      </c>
      <c r="O195" s="9" t="str">
        <f t="shared" ref="O195:O258" si="14">TEXT(L195,"mmm")</f>
        <v>ديسمبر</v>
      </c>
      <c r="P195" s="7" t="str">
        <f t="shared" ref="P195:P258" si="15">IF(N195&gt;=S$10,"راتب طبيعي","راتب عالي")</f>
        <v>راتب عالي</v>
      </c>
    </row>
    <row r="196" spans="1:16" x14ac:dyDescent="0.3">
      <c r="A196" s="7">
        <v>58846</v>
      </c>
      <c r="B196" s="7" t="s">
        <v>425</v>
      </c>
      <c r="C196" s="7" t="s">
        <v>426</v>
      </c>
      <c r="D196" s="7" t="s">
        <v>146</v>
      </c>
      <c r="E196" s="7" t="s">
        <v>17</v>
      </c>
      <c r="F196" s="8">
        <v>34494</v>
      </c>
      <c r="G196" s="7">
        <f t="shared" ca="1" si="12"/>
        <v>31.911111111111111</v>
      </c>
      <c r="H196" s="7" t="s">
        <v>18</v>
      </c>
      <c r="I196" s="7" t="s">
        <v>25</v>
      </c>
      <c r="J196" s="7" t="s">
        <v>27</v>
      </c>
      <c r="K196" s="7" t="s">
        <v>21</v>
      </c>
      <c r="L196" s="8">
        <v>44918</v>
      </c>
      <c r="M196" s="7">
        <f t="shared" ca="1" si="13"/>
        <v>3.3722222222222222</v>
      </c>
      <c r="N196" s="7">
        <v>4255</v>
      </c>
      <c r="O196" s="7" t="str">
        <f t="shared" si="14"/>
        <v>ديسمبر</v>
      </c>
      <c r="P196" s="7" t="str">
        <f t="shared" si="15"/>
        <v>راتب عالي</v>
      </c>
    </row>
    <row r="197" spans="1:16" x14ac:dyDescent="0.3">
      <c r="A197" s="9">
        <v>51668</v>
      </c>
      <c r="B197" s="9" t="s">
        <v>427</v>
      </c>
      <c r="C197" s="9" t="s">
        <v>428</v>
      </c>
      <c r="D197" s="9" t="s">
        <v>34</v>
      </c>
      <c r="E197" s="9" t="s">
        <v>17</v>
      </c>
      <c r="F197" s="10">
        <v>37815</v>
      </c>
      <c r="G197" s="7">
        <f t="shared" ca="1" si="12"/>
        <v>22.816666666666666</v>
      </c>
      <c r="H197" s="9" t="s">
        <v>36</v>
      </c>
      <c r="I197" s="9" t="s">
        <v>25</v>
      </c>
      <c r="J197" s="9" t="s">
        <v>20</v>
      </c>
      <c r="K197" s="9" t="s">
        <v>21</v>
      </c>
      <c r="L197" s="10">
        <v>44919</v>
      </c>
      <c r="M197" s="9">
        <f t="shared" ca="1" si="13"/>
        <v>3.3694444444444445</v>
      </c>
      <c r="N197" s="9">
        <v>5492</v>
      </c>
      <c r="O197" s="9" t="str">
        <f t="shared" si="14"/>
        <v>ديسمبر</v>
      </c>
      <c r="P197" s="7" t="str">
        <f t="shared" si="15"/>
        <v>راتب عالي</v>
      </c>
    </row>
    <row r="198" spans="1:16" x14ac:dyDescent="0.3">
      <c r="A198" s="7">
        <v>57543</v>
      </c>
      <c r="B198" s="7" t="s">
        <v>429</v>
      </c>
      <c r="C198" s="7" t="s">
        <v>430</v>
      </c>
      <c r="D198" s="7" t="s">
        <v>95</v>
      </c>
      <c r="E198" s="7" t="s">
        <v>17</v>
      </c>
      <c r="F198" s="8">
        <v>37451</v>
      </c>
      <c r="G198" s="7">
        <f t="shared" ca="1" si="12"/>
        <v>23.81388888888889</v>
      </c>
      <c r="H198" s="7" t="s">
        <v>18</v>
      </c>
      <c r="I198" s="7" t="s">
        <v>25</v>
      </c>
      <c r="J198" s="7" t="s">
        <v>26</v>
      </c>
      <c r="K198" s="7" t="s">
        <v>21</v>
      </c>
      <c r="L198" s="8">
        <v>44920</v>
      </c>
      <c r="M198" s="7">
        <f t="shared" ca="1" si="13"/>
        <v>3.3666666666666667</v>
      </c>
      <c r="N198" s="7">
        <v>3114</v>
      </c>
      <c r="O198" s="7" t="str">
        <f t="shared" si="14"/>
        <v>ديسمبر</v>
      </c>
      <c r="P198" s="7" t="str">
        <f t="shared" si="15"/>
        <v>راتب عالي</v>
      </c>
    </row>
    <row r="199" spans="1:16" x14ac:dyDescent="0.3">
      <c r="A199" s="9">
        <v>56856</v>
      </c>
      <c r="B199" s="9" t="s">
        <v>431</v>
      </c>
      <c r="C199" s="9" t="s">
        <v>432</v>
      </c>
      <c r="D199" s="9" t="s">
        <v>30</v>
      </c>
      <c r="E199" s="9" t="s">
        <v>17</v>
      </c>
      <c r="F199" s="10">
        <v>30841</v>
      </c>
      <c r="G199" s="7">
        <f t="shared" ca="1" si="12"/>
        <v>41.913888888888891</v>
      </c>
      <c r="H199" s="9" t="s">
        <v>36</v>
      </c>
      <c r="I199" s="9" t="s">
        <v>25</v>
      </c>
      <c r="J199" s="9" t="s">
        <v>20</v>
      </c>
      <c r="K199" s="9" t="s">
        <v>21</v>
      </c>
      <c r="L199" s="10">
        <v>44921</v>
      </c>
      <c r="M199" s="9">
        <f t="shared" ca="1" si="13"/>
        <v>3.3638888888888889</v>
      </c>
      <c r="N199" s="9">
        <v>5946</v>
      </c>
      <c r="O199" s="9" t="str">
        <f t="shared" si="14"/>
        <v>ديسمبر</v>
      </c>
      <c r="P199" s="7" t="str">
        <f t="shared" si="15"/>
        <v>راتب عالي</v>
      </c>
    </row>
    <row r="200" spans="1:16" x14ac:dyDescent="0.3">
      <c r="A200" s="7">
        <v>52673</v>
      </c>
      <c r="B200" s="7" t="s">
        <v>433</v>
      </c>
      <c r="C200" s="7" t="s">
        <v>434</v>
      </c>
      <c r="D200" s="7" t="s">
        <v>53</v>
      </c>
      <c r="E200" s="7" t="s">
        <v>17</v>
      </c>
      <c r="F200" s="8">
        <v>33261</v>
      </c>
      <c r="G200" s="7">
        <f t="shared" ca="1" si="12"/>
        <v>35.288888888888891</v>
      </c>
      <c r="H200" s="7" t="s">
        <v>36</v>
      </c>
      <c r="I200" s="7" t="s">
        <v>46</v>
      </c>
      <c r="J200" s="7" t="s">
        <v>27</v>
      </c>
      <c r="K200" s="7" t="s">
        <v>21</v>
      </c>
      <c r="L200" s="8">
        <v>44922</v>
      </c>
      <c r="M200" s="7">
        <f t="shared" ca="1" si="13"/>
        <v>3.3611111111111112</v>
      </c>
      <c r="N200" s="7">
        <v>11324</v>
      </c>
      <c r="O200" s="7" t="str">
        <f t="shared" si="14"/>
        <v>ديسمبر</v>
      </c>
      <c r="P200" s="7" t="str">
        <f t="shared" si="15"/>
        <v>راتب طبيعي</v>
      </c>
    </row>
    <row r="201" spans="1:16" x14ac:dyDescent="0.3">
      <c r="A201" s="9">
        <v>57061</v>
      </c>
      <c r="B201" s="9" t="s">
        <v>435</v>
      </c>
      <c r="C201" s="9" t="s">
        <v>436</v>
      </c>
      <c r="D201" s="9" t="s">
        <v>43</v>
      </c>
      <c r="E201" s="9" t="s">
        <v>17</v>
      </c>
      <c r="F201" s="10">
        <v>37355</v>
      </c>
      <c r="G201" s="7">
        <f t="shared" ca="1" si="12"/>
        <v>24.077777777777779</v>
      </c>
      <c r="H201" s="9" t="s">
        <v>36</v>
      </c>
      <c r="I201" s="9" t="s">
        <v>25</v>
      </c>
      <c r="J201" s="9" t="s">
        <v>21</v>
      </c>
      <c r="K201" s="9" t="s">
        <v>21</v>
      </c>
      <c r="L201" s="10">
        <v>44923</v>
      </c>
      <c r="M201" s="9">
        <f t="shared" ca="1" si="13"/>
        <v>3.3583333333333334</v>
      </c>
      <c r="N201" s="9">
        <v>4950</v>
      </c>
      <c r="O201" s="9" t="str">
        <f t="shared" si="14"/>
        <v>ديسمبر</v>
      </c>
      <c r="P201" s="7" t="str">
        <f t="shared" si="15"/>
        <v>راتب عالي</v>
      </c>
    </row>
    <row r="202" spans="1:16" x14ac:dyDescent="0.3">
      <c r="A202" s="7">
        <v>56886</v>
      </c>
      <c r="B202" s="7" t="s">
        <v>437</v>
      </c>
      <c r="C202" s="7" t="s">
        <v>438</v>
      </c>
      <c r="D202" s="7" t="s">
        <v>53</v>
      </c>
      <c r="E202" s="7" t="s">
        <v>17</v>
      </c>
      <c r="F202" s="8">
        <v>33639</v>
      </c>
      <c r="G202" s="7">
        <f t="shared" ca="1" si="12"/>
        <v>34.255555555555553</v>
      </c>
      <c r="H202" s="7" t="s">
        <v>18</v>
      </c>
      <c r="I202" s="7" t="s">
        <v>25</v>
      </c>
      <c r="J202" s="7" t="s">
        <v>20</v>
      </c>
      <c r="K202" s="7" t="s">
        <v>21</v>
      </c>
      <c r="L202" s="8">
        <v>44924</v>
      </c>
      <c r="M202" s="7">
        <f t="shared" ca="1" si="13"/>
        <v>3.3555555555555556</v>
      </c>
      <c r="N202" s="7">
        <v>5135</v>
      </c>
      <c r="O202" s="7" t="str">
        <f t="shared" si="14"/>
        <v>ديسمبر</v>
      </c>
      <c r="P202" s="7" t="str">
        <f t="shared" si="15"/>
        <v>راتب عالي</v>
      </c>
    </row>
    <row r="203" spans="1:16" x14ac:dyDescent="0.3">
      <c r="A203" s="9">
        <v>55239</v>
      </c>
      <c r="B203" s="9" t="s">
        <v>439</v>
      </c>
      <c r="C203" s="9" t="s">
        <v>440</v>
      </c>
      <c r="D203" s="9" t="s">
        <v>53</v>
      </c>
      <c r="E203" s="9" t="s">
        <v>17</v>
      </c>
      <c r="F203" s="10">
        <v>30117</v>
      </c>
      <c r="G203" s="7">
        <f t="shared" ca="1" si="12"/>
        <v>43.894444444444446</v>
      </c>
      <c r="H203" s="9" t="s">
        <v>18</v>
      </c>
      <c r="I203" s="9" t="s">
        <v>25</v>
      </c>
      <c r="J203" s="9" t="s">
        <v>27</v>
      </c>
      <c r="K203" s="9" t="s">
        <v>21</v>
      </c>
      <c r="L203" s="10">
        <v>44925</v>
      </c>
      <c r="M203" s="9">
        <f t="shared" ca="1" si="13"/>
        <v>3.3527777777777779</v>
      </c>
      <c r="N203" s="9">
        <v>4862</v>
      </c>
      <c r="O203" s="9" t="str">
        <f t="shared" si="14"/>
        <v>ديسمبر</v>
      </c>
      <c r="P203" s="7" t="str">
        <f t="shared" si="15"/>
        <v>راتب عالي</v>
      </c>
    </row>
    <row r="204" spans="1:16" x14ac:dyDescent="0.3">
      <c r="A204" s="7">
        <v>52195</v>
      </c>
      <c r="B204" s="7" t="s">
        <v>441</v>
      </c>
      <c r="C204" s="7" t="s">
        <v>442</v>
      </c>
      <c r="D204" s="7" t="s">
        <v>40</v>
      </c>
      <c r="E204" s="7" t="s">
        <v>17</v>
      </c>
      <c r="F204" s="8">
        <v>37304</v>
      </c>
      <c r="G204" s="7">
        <f t="shared" ca="1" si="12"/>
        <v>24.222222222222221</v>
      </c>
      <c r="H204" s="7" t="s">
        <v>36</v>
      </c>
      <c r="I204" s="7" t="s">
        <v>25</v>
      </c>
      <c r="J204" s="7" t="s">
        <v>20</v>
      </c>
      <c r="K204" s="7" t="s">
        <v>21</v>
      </c>
      <c r="L204" s="8">
        <v>44926</v>
      </c>
      <c r="M204" s="7">
        <f t="shared" ca="1" si="13"/>
        <v>3.3527777777777779</v>
      </c>
      <c r="N204" s="7">
        <v>3272</v>
      </c>
      <c r="O204" s="7" t="str">
        <f t="shared" si="14"/>
        <v>ديسمبر</v>
      </c>
      <c r="P204" s="7" t="str">
        <f t="shared" si="15"/>
        <v>راتب عالي</v>
      </c>
    </row>
    <row r="205" spans="1:16" x14ac:dyDescent="0.3">
      <c r="A205" s="9">
        <v>59118</v>
      </c>
      <c r="B205" s="9" t="s">
        <v>443</v>
      </c>
      <c r="C205" s="9" t="s">
        <v>444</v>
      </c>
      <c r="D205" s="9" t="s">
        <v>40</v>
      </c>
      <c r="E205" s="9" t="s">
        <v>17</v>
      </c>
      <c r="F205" s="10">
        <v>37288</v>
      </c>
      <c r="G205" s="7">
        <f t="shared" ca="1" si="12"/>
        <v>24.266666666666666</v>
      </c>
      <c r="H205" s="9" t="s">
        <v>36</v>
      </c>
      <c r="I205" s="9" t="s">
        <v>25</v>
      </c>
      <c r="J205" s="9" t="s">
        <v>27</v>
      </c>
      <c r="K205" s="9" t="s">
        <v>21</v>
      </c>
      <c r="L205" s="10">
        <v>44927</v>
      </c>
      <c r="M205" s="9">
        <f t="shared" ca="1" si="13"/>
        <v>3.35</v>
      </c>
      <c r="N205" s="9">
        <v>5375</v>
      </c>
      <c r="O205" s="9" t="str">
        <f t="shared" si="14"/>
        <v>يناير</v>
      </c>
      <c r="P205" s="7" t="str">
        <f t="shared" si="15"/>
        <v>راتب عالي</v>
      </c>
    </row>
    <row r="206" spans="1:16" x14ac:dyDescent="0.3">
      <c r="A206" s="7">
        <v>54492</v>
      </c>
      <c r="B206" s="7" t="s">
        <v>445</v>
      </c>
      <c r="C206" s="7" t="s">
        <v>446</v>
      </c>
      <c r="D206" s="7" t="s">
        <v>95</v>
      </c>
      <c r="E206" s="7" t="s">
        <v>17</v>
      </c>
      <c r="F206" s="8">
        <v>37297</v>
      </c>
      <c r="G206" s="7">
        <f t="shared" ca="1" si="12"/>
        <v>24.241666666666667</v>
      </c>
      <c r="H206" s="7" t="s">
        <v>36</v>
      </c>
      <c r="I206" s="7" t="s">
        <v>25</v>
      </c>
      <c r="J206" s="7" t="s">
        <v>21</v>
      </c>
      <c r="K206" s="7" t="s">
        <v>21</v>
      </c>
      <c r="L206" s="8">
        <v>44928</v>
      </c>
      <c r="M206" s="7">
        <f t="shared" ca="1" si="13"/>
        <v>3.3472222222222223</v>
      </c>
      <c r="N206" s="7">
        <v>4503</v>
      </c>
      <c r="O206" s="7" t="str">
        <f t="shared" si="14"/>
        <v>يناير</v>
      </c>
      <c r="P206" s="7" t="str">
        <f t="shared" si="15"/>
        <v>راتب عالي</v>
      </c>
    </row>
    <row r="207" spans="1:16" x14ac:dyDescent="0.3">
      <c r="A207" s="9">
        <v>59783</v>
      </c>
      <c r="B207" s="9" t="s">
        <v>447</v>
      </c>
      <c r="C207" s="9" t="s">
        <v>448</v>
      </c>
      <c r="D207" s="9" t="s">
        <v>146</v>
      </c>
      <c r="E207" s="9" t="s">
        <v>17</v>
      </c>
      <c r="F207" s="10">
        <v>37297</v>
      </c>
      <c r="G207" s="7">
        <f t="shared" ca="1" si="12"/>
        <v>24.241666666666667</v>
      </c>
      <c r="H207" s="9" t="s">
        <v>18</v>
      </c>
      <c r="I207" s="9" t="s">
        <v>25</v>
      </c>
      <c r="J207" s="9" t="s">
        <v>20</v>
      </c>
      <c r="K207" s="9" t="s">
        <v>21</v>
      </c>
      <c r="L207" s="10">
        <v>44929</v>
      </c>
      <c r="M207" s="9">
        <f t="shared" ca="1" si="13"/>
        <v>3.3444444444444446</v>
      </c>
      <c r="N207" s="9">
        <v>4699</v>
      </c>
      <c r="O207" s="9" t="str">
        <f t="shared" si="14"/>
        <v>يناير</v>
      </c>
      <c r="P207" s="7" t="str">
        <f t="shared" si="15"/>
        <v>راتب عالي</v>
      </c>
    </row>
    <row r="208" spans="1:16" x14ac:dyDescent="0.3">
      <c r="A208" s="7">
        <v>59921</v>
      </c>
      <c r="B208" s="7" t="s">
        <v>449</v>
      </c>
      <c r="C208" s="7" t="s">
        <v>450</v>
      </c>
      <c r="D208" s="7" t="s">
        <v>24</v>
      </c>
      <c r="E208" s="7" t="s">
        <v>17</v>
      </c>
      <c r="F208" s="8">
        <v>37504</v>
      </c>
      <c r="G208" s="7">
        <f t="shared" ca="1" si="12"/>
        <v>23.672222222222221</v>
      </c>
      <c r="H208" s="7" t="s">
        <v>18</v>
      </c>
      <c r="I208" s="7" t="s">
        <v>46</v>
      </c>
      <c r="J208" s="7" t="s">
        <v>26</v>
      </c>
      <c r="K208" s="7" t="s">
        <v>21</v>
      </c>
      <c r="L208" s="8">
        <v>44930</v>
      </c>
      <c r="M208" s="7">
        <f t="shared" ca="1" si="13"/>
        <v>3.3416666666666668</v>
      </c>
      <c r="N208" s="7">
        <v>10605</v>
      </c>
      <c r="O208" s="7" t="str">
        <f t="shared" si="14"/>
        <v>يناير</v>
      </c>
      <c r="P208" s="7" t="str">
        <f t="shared" si="15"/>
        <v>راتب طبيعي</v>
      </c>
    </row>
    <row r="209" spans="1:16" x14ac:dyDescent="0.3">
      <c r="A209" s="9">
        <v>53765</v>
      </c>
      <c r="B209" s="9" t="s">
        <v>451</v>
      </c>
      <c r="C209" s="9" t="s">
        <v>452</v>
      </c>
      <c r="D209" s="9" t="s">
        <v>34</v>
      </c>
      <c r="E209" s="9" t="s">
        <v>17</v>
      </c>
      <c r="F209" s="10">
        <v>37574</v>
      </c>
      <c r="G209" s="7">
        <f t="shared" ca="1" si="12"/>
        <v>23.480555555555554</v>
      </c>
      <c r="H209" s="9" t="s">
        <v>36</v>
      </c>
      <c r="I209" s="9" t="s">
        <v>25</v>
      </c>
      <c r="J209" s="9" t="s">
        <v>20</v>
      </c>
      <c r="K209" s="9" t="s">
        <v>21</v>
      </c>
      <c r="L209" s="10">
        <v>44931</v>
      </c>
      <c r="M209" s="9">
        <f t="shared" ca="1" si="13"/>
        <v>3.338888888888889</v>
      </c>
      <c r="N209" s="9">
        <v>3137</v>
      </c>
      <c r="O209" s="9" t="str">
        <f t="shared" si="14"/>
        <v>يناير</v>
      </c>
      <c r="P209" s="7" t="str">
        <f t="shared" si="15"/>
        <v>راتب عالي</v>
      </c>
    </row>
    <row r="210" spans="1:16" x14ac:dyDescent="0.3">
      <c r="A210" s="7">
        <v>59836</v>
      </c>
      <c r="B210" s="7" t="s">
        <v>453</v>
      </c>
      <c r="C210" s="7" t="s">
        <v>454</v>
      </c>
      <c r="D210" s="7" t="s">
        <v>40</v>
      </c>
      <c r="E210" s="7" t="s">
        <v>17</v>
      </c>
      <c r="F210" s="8">
        <v>37319</v>
      </c>
      <c r="G210" s="7">
        <f t="shared" ca="1" si="12"/>
        <v>24.175000000000001</v>
      </c>
      <c r="H210" s="7" t="s">
        <v>18</v>
      </c>
      <c r="I210" s="7" t="s">
        <v>25</v>
      </c>
      <c r="J210" s="7" t="s">
        <v>31</v>
      </c>
      <c r="K210" s="7" t="s">
        <v>21</v>
      </c>
      <c r="L210" s="8">
        <v>44932</v>
      </c>
      <c r="M210" s="7">
        <f t="shared" ca="1" si="13"/>
        <v>3.3361111111111112</v>
      </c>
      <c r="N210" s="7">
        <v>3812</v>
      </c>
      <c r="O210" s="7" t="str">
        <f t="shared" si="14"/>
        <v>يناير</v>
      </c>
      <c r="P210" s="7" t="str">
        <f t="shared" si="15"/>
        <v>راتب عالي</v>
      </c>
    </row>
    <row r="211" spans="1:16" x14ac:dyDescent="0.3">
      <c r="A211" s="9">
        <v>54468</v>
      </c>
      <c r="B211" s="9" t="s">
        <v>455</v>
      </c>
      <c r="C211" s="9" t="s">
        <v>456</v>
      </c>
      <c r="D211" s="9" t="s">
        <v>30</v>
      </c>
      <c r="E211" s="9" t="s">
        <v>17</v>
      </c>
      <c r="F211" s="10">
        <v>30225</v>
      </c>
      <c r="G211" s="7">
        <f t="shared" ca="1" si="12"/>
        <v>43.6</v>
      </c>
      <c r="H211" s="9" t="s">
        <v>18</v>
      </c>
      <c r="I211" s="9" t="s">
        <v>25</v>
      </c>
      <c r="J211" s="9" t="s">
        <v>21</v>
      </c>
      <c r="K211" s="9" t="s">
        <v>21</v>
      </c>
      <c r="L211" s="10">
        <v>44933</v>
      </c>
      <c r="M211" s="9">
        <f t="shared" ca="1" si="13"/>
        <v>3.3333333333333335</v>
      </c>
      <c r="N211" s="9">
        <v>5604</v>
      </c>
      <c r="O211" s="9" t="str">
        <f t="shared" si="14"/>
        <v>يناير</v>
      </c>
      <c r="P211" s="7" t="str">
        <f t="shared" si="15"/>
        <v>راتب عالي</v>
      </c>
    </row>
    <row r="212" spans="1:16" x14ac:dyDescent="0.3">
      <c r="A212" s="7">
        <v>58658</v>
      </c>
      <c r="B212" s="7" t="s">
        <v>457</v>
      </c>
      <c r="C212" s="7" t="s">
        <v>458</v>
      </c>
      <c r="D212" s="7" t="s">
        <v>40</v>
      </c>
      <c r="E212" s="7" t="s">
        <v>17</v>
      </c>
      <c r="F212" s="8">
        <v>31211</v>
      </c>
      <c r="G212" s="7">
        <f t="shared" ca="1" si="12"/>
        <v>40.9</v>
      </c>
      <c r="H212" s="7" t="s">
        <v>36</v>
      </c>
      <c r="I212" s="7" t="s">
        <v>25</v>
      </c>
      <c r="J212" s="7" t="s">
        <v>26</v>
      </c>
      <c r="K212" s="7" t="s">
        <v>21</v>
      </c>
      <c r="L212" s="8">
        <v>44934</v>
      </c>
      <c r="M212" s="7">
        <f t="shared" ca="1" si="13"/>
        <v>3.3305555555555557</v>
      </c>
      <c r="N212" s="7">
        <v>3060</v>
      </c>
      <c r="O212" s="7" t="str">
        <f t="shared" si="14"/>
        <v>يناير</v>
      </c>
      <c r="P212" s="7" t="str">
        <f t="shared" si="15"/>
        <v>راتب عالي</v>
      </c>
    </row>
    <row r="213" spans="1:16" x14ac:dyDescent="0.3">
      <c r="A213" s="9">
        <v>56342</v>
      </c>
      <c r="B213" s="9" t="s">
        <v>459</v>
      </c>
      <c r="C213" s="9" t="s">
        <v>460</v>
      </c>
      <c r="D213" s="9" t="s">
        <v>43</v>
      </c>
      <c r="E213" s="9" t="s">
        <v>17</v>
      </c>
      <c r="F213" s="10">
        <v>33430</v>
      </c>
      <c r="G213" s="7">
        <f t="shared" ca="1" si="12"/>
        <v>34.822222222222223</v>
      </c>
      <c r="H213" s="9" t="s">
        <v>18</v>
      </c>
      <c r="I213" s="9" t="s">
        <v>19</v>
      </c>
      <c r="J213" s="9" t="s">
        <v>21</v>
      </c>
      <c r="K213" s="9" t="s">
        <v>21</v>
      </c>
      <c r="L213" s="10">
        <v>44935</v>
      </c>
      <c r="M213" s="9">
        <f t="shared" ca="1" si="13"/>
        <v>3.3277777777777779</v>
      </c>
      <c r="N213" s="9">
        <v>27026</v>
      </c>
      <c r="O213" s="9" t="str">
        <f t="shared" si="14"/>
        <v>يناير</v>
      </c>
      <c r="P213" s="7" t="str">
        <f t="shared" si="15"/>
        <v>راتب طبيعي</v>
      </c>
    </row>
    <row r="214" spans="1:16" x14ac:dyDescent="0.3">
      <c r="A214" s="7">
        <v>56703</v>
      </c>
      <c r="B214" s="7" t="s">
        <v>461</v>
      </c>
      <c r="C214" s="7" t="s">
        <v>462</v>
      </c>
      <c r="D214" s="7" t="s">
        <v>30</v>
      </c>
      <c r="E214" s="7" t="s">
        <v>17</v>
      </c>
      <c r="F214" s="8">
        <v>34169</v>
      </c>
      <c r="G214" s="7">
        <f t="shared" ca="1" si="12"/>
        <v>32.799999999999997</v>
      </c>
      <c r="H214" s="7" t="s">
        <v>36</v>
      </c>
      <c r="I214" s="7" t="s">
        <v>25</v>
      </c>
      <c r="J214" s="7" t="s">
        <v>26</v>
      </c>
      <c r="K214" s="7" t="s">
        <v>21</v>
      </c>
      <c r="L214" s="8">
        <v>44936</v>
      </c>
      <c r="M214" s="7">
        <f t="shared" ca="1" si="13"/>
        <v>3.3250000000000002</v>
      </c>
      <c r="N214" s="7">
        <v>4321</v>
      </c>
      <c r="O214" s="7" t="str">
        <f t="shared" si="14"/>
        <v>يناير</v>
      </c>
      <c r="P214" s="7" t="str">
        <f t="shared" si="15"/>
        <v>راتب عالي</v>
      </c>
    </row>
    <row r="215" spans="1:16" x14ac:dyDescent="0.3">
      <c r="A215" s="9">
        <v>51614</v>
      </c>
      <c r="B215" s="9" t="s">
        <v>463</v>
      </c>
      <c r="C215" s="9" t="s">
        <v>464</v>
      </c>
      <c r="D215" s="9" t="s">
        <v>34</v>
      </c>
      <c r="E215" s="9" t="s">
        <v>17</v>
      </c>
      <c r="F215" s="10">
        <v>31465</v>
      </c>
      <c r="G215" s="7">
        <f t="shared" ca="1" si="12"/>
        <v>40.208333333333336</v>
      </c>
      <c r="H215" s="9" t="s">
        <v>36</v>
      </c>
      <c r="I215" s="9" t="s">
        <v>46</v>
      </c>
      <c r="J215" s="9" t="s">
        <v>20</v>
      </c>
      <c r="K215" s="9" t="s">
        <v>21</v>
      </c>
      <c r="L215" s="10">
        <v>44937</v>
      </c>
      <c r="M215" s="9">
        <f t="shared" ca="1" si="13"/>
        <v>3.3222222222222224</v>
      </c>
      <c r="N215" s="9">
        <v>14857</v>
      </c>
      <c r="O215" s="9" t="str">
        <f t="shared" si="14"/>
        <v>يناير</v>
      </c>
      <c r="P215" s="7" t="str">
        <f t="shared" si="15"/>
        <v>راتب طبيعي</v>
      </c>
    </row>
    <row r="216" spans="1:16" x14ac:dyDescent="0.3">
      <c r="A216" s="7">
        <v>56240</v>
      </c>
      <c r="B216" s="7" t="s">
        <v>465</v>
      </c>
      <c r="C216" s="7" t="s">
        <v>466</v>
      </c>
      <c r="D216" s="7" t="s">
        <v>30</v>
      </c>
      <c r="E216" s="7" t="s">
        <v>17</v>
      </c>
      <c r="F216" s="8">
        <v>33376</v>
      </c>
      <c r="G216" s="7">
        <f t="shared" ca="1" si="12"/>
        <v>34.969444444444441</v>
      </c>
      <c r="H216" s="7" t="s">
        <v>36</v>
      </c>
      <c r="I216" s="7" t="s">
        <v>25</v>
      </c>
      <c r="J216" s="7" t="s">
        <v>26</v>
      </c>
      <c r="K216" s="7" t="s">
        <v>21</v>
      </c>
      <c r="L216" s="8">
        <v>44938</v>
      </c>
      <c r="M216" s="7">
        <f t="shared" ca="1" si="13"/>
        <v>3.3194444444444446</v>
      </c>
      <c r="N216" s="7">
        <v>6135</v>
      </c>
      <c r="O216" s="7" t="str">
        <f t="shared" si="14"/>
        <v>يناير</v>
      </c>
      <c r="P216" s="7" t="str">
        <f t="shared" si="15"/>
        <v>راتب طبيعي</v>
      </c>
    </row>
    <row r="217" spans="1:16" x14ac:dyDescent="0.3">
      <c r="A217" s="9">
        <v>55870</v>
      </c>
      <c r="B217" s="9" t="s">
        <v>467</v>
      </c>
      <c r="C217" s="9" t="s">
        <v>468</v>
      </c>
      <c r="D217" s="9" t="s">
        <v>146</v>
      </c>
      <c r="E217" s="9" t="s">
        <v>17</v>
      </c>
      <c r="F217" s="10">
        <v>32077</v>
      </c>
      <c r="G217" s="7">
        <f t="shared" ca="1" si="12"/>
        <v>38.527777777777779</v>
      </c>
      <c r="H217" s="9" t="s">
        <v>36</v>
      </c>
      <c r="I217" s="9" t="s">
        <v>25</v>
      </c>
      <c r="J217" s="9" t="s">
        <v>26</v>
      </c>
      <c r="K217" s="9" t="s">
        <v>21</v>
      </c>
      <c r="L217" s="10">
        <v>44939</v>
      </c>
      <c r="M217" s="9">
        <f t="shared" ca="1" si="13"/>
        <v>3.3166666666666669</v>
      </c>
      <c r="N217" s="9">
        <v>6055</v>
      </c>
      <c r="O217" s="9" t="str">
        <f t="shared" si="14"/>
        <v>يناير</v>
      </c>
      <c r="P217" s="7" t="str">
        <f t="shared" si="15"/>
        <v>راتب طبيعي</v>
      </c>
    </row>
    <row r="218" spans="1:16" x14ac:dyDescent="0.3">
      <c r="A218" s="7">
        <v>51060</v>
      </c>
      <c r="B218" s="7" t="s">
        <v>469</v>
      </c>
      <c r="C218" s="7" t="s">
        <v>470</v>
      </c>
      <c r="D218" s="7" t="s">
        <v>146</v>
      </c>
      <c r="E218" s="7" t="s">
        <v>17</v>
      </c>
      <c r="F218" s="8">
        <v>36643</v>
      </c>
      <c r="G218" s="7">
        <f t="shared" ca="1" si="12"/>
        <v>26.027777777777779</v>
      </c>
      <c r="H218" s="7" t="s">
        <v>18</v>
      </c>
      <c r="I218" s="7" t="s">
        <v>46</v>
      </c>
      <c r="J218" s="7" t="s">
        <v>27</v>
      </c>
      <c r="K218" s="7" t="s">
        <v>21</v>
      </c>
      <c r="L218" s="8">
        <v>44940</v>
      </c>
      <c r="M218" s="7">
        <f t="shared" ca="1" si="13"/>
        <v>3.3138888888888891</v>
      </c>
      <c r="N218" s="7">
        <v>14145</v>
      </c>
      <c r="O218" s="7" t="str">
        <f t="shared" si="14"/>
        <v>يناير</v>
      </c>
      <c r="P218" s="7" t="str">
        <f t="shared" si="15"/>
        <v>راتب طبيعي</v>
      </c>
    </row>
    <row r="219" spans="1:16" x14ac:dyDescent="0.3">
      <c r="A219" s="9">
        <v>51768</v>
      </c>
      <c r="B219" s="9" t="s">
        <v>471</v>
      </c>
      <c r="C219" s="9" t="s">
        <v>472</v>
      </c>
      <c r="D219" s="9" t="s">
        <v>53</v>
      </c>
      <c r="E219" s="9" t="s">
        <v>17</v>
      </c>
      <c r="F219" s="10">
        <v>34894</v>
      </c>
      <c r="G219" s="7">
        <f t="shared" ca="1" si="12"/>
        <v>30.81388888888889</v>
      </c>
      <c r="H219" s="9" t="s">
        <v>36</v>
      </c>
      <c r="I219" s="9" t="s">
        <v>25</v>
      </c>
      <c r="J219" s="9" t="s">
        <v>31</v>
      </c>
      <c r="K219" s="9" t="s">
        <v>21</v>
      </c>
      <c r="L219" s="10">
        <v>44941</v>
      </c>
      <c r="M219" s="9">
        <f t="shared" ca="1" si="13"/>
        <v>3.3111111111111109</v>
      </c>
      <c r="N219" s="9">
        <v>4081</v>
      </c>
      <c r="O219" s="9" t="str">
        <f t="shared" si="14"/>
        <v>يناير</v>
      </c>
      <c r="P219" s="7" t="str">
        <f t="shared" si="15"/>
        <v>راتب عالي</v>
      </c>
    </row>
    <row r="220" spans="1:16" x14ac:dyDescent="0.3">
      <c r="A220" s="7">
        <v>58544</v>
      </c>
      <c r="B220" s="7" t="s">
        <v>473</v>
      </c>
      <c r="C220" s="7" t="s">
        <v>474</v>
      </c>
      <c r="D220" s="7" t="s">
        <v>16</v>
      </c>
      <c r="E220" s="7" t="s">
        <v>17</v>
      </c>
      <c r="F220" s="8">
        <v>35121</v>
      </c>
      <c r="G220" s="7">
        <f t="shared" ca="1" si="12"/>
        <v>30.197222222222223</v>
      </c>
      <c r="H220" s="7" t="s">
        <v>36</v>
      </c>
      <c r="I220" s="7" t="s">
        <v>25</v>
      </c>
      <c r="J220" s="7" t="s">
        <v>21</v>
      </c>
      <c r="K220" s="7" t="s">
        <v>21</v>
      </c>
      <c r="L220" s="8">
        <v>44942</v>
      </c>
      <c r="M220" s="7">
        <f t="shared" ca="1" si="13"/>
        <v>3.3083333333333331</v>
      </c>
      <c r="N220" s="7">
        <v>3694</v>
      </c>
      <c r="O220" s="7" t="str">
        <f t="shared" si="14"/>
        <v>يناير</v>
      </c>
      <c r="P220" s="7" t="str">
        <f t="shared" si="15"/>
        <v>راتب عالي</v>
      </c>
    </row>
    <row r="221" spans="1:16" x14ac:dyDescent="0.3">
      <c r="A221" s="9">
        <v>58242</v>
      </c>
      <c r="B221" s="9" t="s">
        <v>475</v>
      </c>
      <c r="C221" s="9" t="s">
        <v>476</v>
      </c>
      <c r="D221" s="9" t="s">
        <v>16</v>
      </c>
      <c r="E221" s="9" t="s">
        <v>17</v>
      </c>
      <c r="F221" s="10">
        <v>30370</v>
      </c>
      <c r="G221" s="7">
        <f t="shared" ca="1" si="12"/>
        <v>43.205555555555556</v>
      </c>
      <c r="H221" s="9" t="s">
        <v>18</v>
      </c>
      <c r="I221" s="9" t="s">
        <v>25</v>
      </c>
      <c r="J221" s="9" t="s">
        <v>20</v>
      </c>
      <c r="K221" s="9" t="s">
        <v>21</v>
      </c>
      <c r="L221" s="10">
        <v>44943</v>
      </c>
      <c r="M221" s="9">
        <f t="shared" ca="1" si="13"/>
        <v>3.3055555555555554</v>
      </c>
      <c r="N221" s="9">
        <v>4454</v>
      </c>
      <c r="O221" s="9" t="str">
        <f t="shared" si="14"/>
        <v>يناير</v>
      </c>
      <c r="P221" s="7" t="str">
        <f t="shared" si="15"/>
        <v>راتب عالي</v>
      </c>
    </row>
    <row r="222" spans="1:16" x14ac:dyDescent="0.3">
      <c r="A222" s="7">
        <v>50625</v>
      </c>
      <c r="B222" s="7" t="s">
        <v>477</v>
      </c>
      <c r="C222" s="7" t="s">
        <v>478</v>
      </c>
      <c r="D222" s="7" t="s">
        <v>53</v>
      </c>
      <c r="E222" s="7" t="s">
        <v>17</v>
      </c>
      <c r="F222" s="8">
        <v>30569</v>
      </c>
      <c r="G222" s="7">
        <f t="shared" ca="1" si="12"/>
        <v>42.658333333333331</v>
      </c>
      <c r="H222" s="7" t="s">
        <v>36</v>
      </c>
      <c r="I222" s="7" t="s">
        <v>19</v>
      </c>
      <c r="J222" s="7" t="s">
        <v>26</v>
      </c>
      <c r="K222" s="7" t="s">
        <v>21</v>
      </c>
      <c r="L222" s="8">
        <v>44944</v>
      </c>
      <c r="M222" s="7">
        <f t="shared" ca="1" si="13"/>
        <v>3.3027777777777776</v>
      </c>
      <c r="N222" s="7">
        <v>25462</v>
      </c>
      <c r="O222" s="7" t="str">
        <f t="shared" si="14"/>
        <v>يناير</v>
      </c>
      <c r="P222" s="7" t="str">
        <f t="shared" si="15"/>
        <v>راتب طبيعي</v>
      </c>
    </row>
    <row r="223" spans="1:16" x14ac:dyDescent="0.3">
      <c r="A223" s="9">
        <v>50998</v>
      </c>
      <c r="B223" s="9" t="s">
        <v>479</v>
      </c>
      <c r="C223" s="9" t="s">
        <v>480</v>
      </c>
      <c r="D223" s="9" t="s">
        <v>40</v>
      </c>
      <c r="E223" s="9" t="s">
        <v>17</v>
      </c>
      <c r="F223" s="10">
        <v>36756</v>
      </c>
      <c r="G223" s="7">
        <f t="shared" ca="1" si="12"/>
        <v>25.719444444444445</v>
      </c>
      <c r="H223" s="9" t="s">
        <v>18</v>
      </c>
      <c r="I223" s="9" t="s">
        <v>25</v>
      </c>
      <c r="J223" s="9" t="s">
        <v>21</v>
      </c>
      <c r="K223" s="9" t="s">
        <v>21</v>
      </c>
      <c r="L223" s="10">
        <v>44945</v>
      </c>
      <c r="M223" s="9">
        <f t="shared" ca="1" si="13"/>
        <v>3.3</v>
      </c>
      <c r="N223" s="9">
        <v>5384</v>
      </c>
      <c r="O223" s="9" t="str">
        <f t="shared" si="14"/>
        <v>يناير</v>
      </c>
      <c r="P223" s="7" t="str">
        <f t="shared" si="15"/>
        <v>راتب عالي</v>
      </c>
    </row>
    <row r="224" spans="1:16" x14ac:dyDescent="0.3">
      <c r="A224" s="7">
        <v>50124</v>
      </c>
      <c r="B224" s="7" t="s">
        <v>481</v>
      </c>
      <c r="C224" s="7" t="s">
        <v>482</v>
      </c>
      <c r="D224" s="7" t="s">
        <v>40</v>
      </c>
      <c r="E224" s="7" t="s">
        <v>17</v>
      </c>
      <c r="F224" s="8">
        <v>34323</v>
      </c>
      <c r="G224" s="7">
        <f t="shared" ca="1" si="12"/>
        <v>32.380555555555553</v>
      </c>
      <c r="H224" s="7" t="s">
        <v>18</v>
      </c>
      <c r="I224" s="7" t="s">
        <v>25</v>
      </c>
      <c r="J224" s="7" t="s">
        <v>20</v>
      </c>
      <c r="K224" s="7" t="s">
        <v>21</v>
      </c>
      <c r="L224" s="8">
        <v>44946</v>
      </c>
      <c r="M224" s="7">
        <f t="shared" ca="1" si="13"/>
        <v>3.2972222222222221</v>
      </c>
      <c r="N224" s="7">
        <v>6808</v>
      </c>
      <c r="O224" s="7" t="str">
        <f t="shared" si="14"/>
        <v>يناير</v>
      </c>
      <c r="P224" s="7" t="str">
        <f t="shared" si="15"/>
        <v>راتب طبيعي</v>
      </c>
    </row>
    <row r="225" spans="1:16" x14ac:dyDescent="0.3">
      <c r="A225" s="9">
        <v>57210</v>
      </c>
      <c r="B225" s="9" t="s">
        <v>483</v>
      </c>
      <c r="C225" s="9" t="s">
        <v>484</v>
      </c>
      <c r="D225" s="9" t="s">
        <v>146</v>
      </c>
      <c r="E225" s="9" t="s">
        <v>17</v>
      </c>
      <c r="F225" s="10">
        <v>32792</v>
      </c>
      <c r="G225" s="7">
        <f t="shared" ca="1" si="12"/>
        <v>36.572222222222223</v>
      </c>
      <c r="H225" s="9" t="s">
        <v>36</v>
      </c>
      <c r="I225" s="9" t="s">
        <v>25</v>
      </c>
      <c r="J225" s="9" t="s">
        <v>21</v>
      </c>
      <c r="K225" s="9" t="s">
        <v>21</v>
      </c>
      <c r="L225" s="10">
        <v>44947</v>
      </c>
      <c r="M225" s="9">
        <f t="shared" ca="1" si="13"/>
        <v>3.2944444444444443</v>
      </c>
      <c r="N225" s="9">
        <v>6526</v>
      </c>
      <c r="O225" s="9" t="str">
        <f t="shared" si="14"/>
        <v>يناير</v>
      </c>
      <c r="P225" s="7" t="str">
        <f t="shared" si="15"/>
        <v>راتب طبيعي</v>
      </c>
    </row>
    <row r="226" spans="1:16" x14ac:dyDescent="0.3">
      <c r="A226" s="7">
        <v>53552</v>
      </c>
      <c r="B226" s="7" t="s">
        <v>485</v>
      </c>
      <c r="C226" s="7" t="s">
        <v>486</v>
      </c>
      <c r="D226" s="7" t="s">
        <v>43</v>
      </c>
      <c r="E226" s="7" t="s">
        <v>17</v>
      </c>
      <c r="F226" s="8">
        <v>31465</v>
      </c>
      <c r="G226" s="7">
        <f t="shared" ca="1" si="12"/>
        <v>40.208333333333336</v>
      </c>
      <c r="H226" s="7" t="s">
        <v>36</v>
      </c>
      <c r="I226" s="7" t="s">
        <v>25</v>
      </c>
      <c r="J226" s="7" t="s">
        <v>27</v>
      </c>
      <c r="K226" s="7" t="s">
        <v>21</v>
      </c>
      <c r="L226" s="8">
        <v>44948</v>
      </c>
      <c r="M226" s="7">
        <f t="shared" ca="1" si="13"/>
        <v>3.2916666666666665</v>
      </c>
      <c r="N226" s="7">
        <v>3153</v>
      </c>
      <c r="O226" s="7" t="str">
        <f t="shared" si="14"/>
        <v>يناير</v>
      </c>
      <c r="P226" s="7" t="str">
        <f t="shared" si="15"/>
        <v>راتب عالي</v>
      </c>
    </row>
    <row r="227" spans="1:16" x14ac:dyDescent="0.3">
      <c r="A227" s="9">
        <v>56291</v>
      </c>
      <c r="B227" s="9" t="s">
        <v>487</v>
      </c>
      <c r="C227" s="9" t="s">
        <v>488</v>
      </c>
      <c r="D227" s="9" t="s">
        <v>16</v>
      </c>
      <c r="E227" s="9" t="s">
        <v>17</v>
      </c>
      <c r="F227" s="10">
        <v>35912</v>
      </c>
      <c r="G227" s="7">
        <f t="shared" ca="1" si="12"/>
        <v>28.027777777777779</v>
      </c>
      <c r="H227" s="9" t="s">
        <v>36</v>
      </c>
      <c r="I227" s="9" t="s">
        <v>25</v>
      </c>
      <c r="J227" s="9" t="s">
        <v>20</v>
      </c>
      <c r="K227" s="9" t="s">
        <v>21</v>
      </c>
      <c r="L227" s="10">
        <v>44949</v>
      </c>
      <c r="M227" s="9">
        <f t="shared" ca="1" si="13"/>
        <v>3.2888888888888888</v>
      </c>
      <c r="N227" s="9">
        <v>4466</v>
      </c>
      <c r="O227" s="9" t="str">
        <f t="shared" si="14"/>
        <v>يناير</v>
      </c>
      <c r="P227" s="7" t="str">
        <f t="shared" si="15"/>
        <v>راتب عالي</v>
      </c>
    </row>
    <row r="228" spans="1:16" x14ac:dyDescent="0.3">
      <c r="A228" s="7">
        <v>52969</v>
      </c>
      <c r="B228" s="7" t="s">
        <v>489</v>
      </c>
      <c r="C228" s="7" t="s">
        <v>490</v>
      </c>
      <c r="D228" s="7" t="s">
        <v>66</v>
      </c>
      <c r="E228" s="7" t="s">
        <v>17</v>
      </c>
      <c r="F228" s="8">
        <v>37958</v>
      </c>
      <c r="G228" s="7">
        <f t="shared" ca="1" si="12"/>
        <v>22.427777777777777</v>
      </c>
      <c r="H228" s="7" t="s">
        <v>18</v>
      </c>
      <c r="I228" s="7" t="s">
        <v>25</v>
      </c>
      <c r="J228" s="7" t="s">
        <v>21</v>
      </c>
      <c r="K228" s="7" t="s">
        <v>21</v>
      </c>
      <c r="L228" s="8">
        <v>44950</v>
      </c>
      <c r="M228" s="7">
        <f t="shared" ca="1" si="13"/>
        <v>3.286111111111111</v>
      </c>
      <c r="N228" s="7">
        <v>6677</v>
      </c>
      <c r="O228" s="7" t="str">
        <f t="shared" si="14"/>
        <v>يناير</v>
      </c>
      <c r="P228" s="7" t="str">
        <f t="shared" si="15"/>
        <v>راتب طبيعي</v>
      </c>
    </row>
    <row r="229" spans="1:16" x14ac:dyDescent="0.3">
      <c r="A229" s="9">
        <v>59768</v>
      </c>
      <c r="B229" s="9" t="s">
        <v>491</v>
      </c>
      <c r="C229" s="9" t="s">
        <v>492</v>
      </c>
      <c r="D229" s="9" t="s">
        <v>30</v>
      </c>
      <c r="E229" s="9" t="s">
        <v>17</v>
      </c>
      <c r="F229" s="10">
        <v>37695</v>
      </c>
      <c r="G229" s="7">
        <f t="shared" ca="1" si="12"/>
        <v>23.144444444444446</v>
      </c>
      <c r="H229" s="9" t="s">
        <v>36</v>
      </c>
      <c r="I229" s="9" t="s">
        <v>25</v>
      </c>
      <c r="J229" s="9" t="s">
        <v>21</v>
      </c>
      <c r="K229" s="9" t="s">
        <v>21</v>
      </c>
      <c r="L229" s="10">
        <v>44951</v>
      </c>
      <c r="M229" s="9">
        <f t="shared" ca="1" si="13"/>
        <v>3.2833333333333332</v>
      </c>
      <c r="N229" s="9">
        <v>4439</v>
      </c>
      <c r="O229" s="9" t="str">
        <f t="shared" si="14"/>
        <v>يناير</v>
      </c>
      <c r="P229" s="7" t="str">
        <f t="shared" si="15"/>
        <v>راتب عالي</v>
      </c>
    </row>
    <row r="230" spans="1:16" x14ac:dyDescent="0.3">
      <c r="A230" s="7">
        <v>55946</v>
      </c>
      <c r="B230" s="7" t="s">
        <v>493</v>
      </c>
      <c r="C230" s="7" t="s">
        <v>494</v>
      </c>
      <c r="D230" s="7" t="s">
        <v>30</v>
      </c>
      <c r="E230" s="7" t="s">
        <v>17</v>
      </c>
      <c r="F230" s="8">
        <v>37803</v>
      </c>
      <c r="G230" s="7">
        <f t="shared" ca="1" si="12"/>
        <v>22.85</v>
      </c>
      <c r="H230" s="7" t="s">
        <v>36</v>
      </c>
      <c r="I230" s="7" t="s">
        <v>46</v>
      </c>
      <c r="J230" s="7" t="s">
        <v>26</v>
      </c>
      <c r="K230" s="7" t="s">
        <v>21</v>
      </c>
      <c r="L230" s="8">
        <v>44952</v>
      </c>
      <c r="M230" s="7">
        <f t="shared" ca="1" si="13"/>
        <v>3.2805555555555554</v>
      </c>
      <c r="N230" s="7">
        <v>14646</v>
      </c>
      <c r="O230" s="7" t="str">
        <f t="shared" si="14"/>
        <v>يناير</v>
      </c>
      <c r="P230" s="7" t="str">
        <f t="shared" si="15"/>
        <v>راتب طبيعي</v>
      </c>
    </row>
    <row r="231" spans="1:16" x14ac:dyDescent="0.3">
      <c r="A231" s="9">
        <v>51193</v>
      </c>
      <c r="B231" s="9" t="s">
        <v>495</v>
      </c>
      <c r="C231" s="9" t="s">
        <v>496</v>
      </c>
      <c r="D231" s="9" t="s">
        <v>53</v>
      </c>
      <c r="E231" s="9" t="s">
        <v>17</v>
      </c>
      <c r="F231" s="10">
        <v>37928</v>
      </c>
      <c r="G231" s="7">
        <f t="shared" ca="1" si="12"/>
        <v>22.511111111111113</v>
      </c>
      <c r="H231" s="9" t="s">
        <v>18</v>
      </c>
      <c r="I231" s="9" t="s">
        <v>25</v>
      </c>
      <c r="J231" s="9" t="s">
        <v>27</v>
      </c>
      <c r="K231" s="9" t="s">
        <v>21</v>
      </c>
      <c r="L231" s="10">
        <v>44953</v>
      </c>
      <c r="M231" s="9">
        <f t="shared" ca="1" si="13"/>
        <v>3.2777777777777777</v>
      </c>
      <c r="N231" s="9">
        <v>5147</v>
      </c>
      <c r="O231" s="9" t="str">
        <f t="shared" si="14"/>
        <v>يناير</v>
      </c>
      <c r="P231" s="7" t="str">
        <f t="shared" si="15"/>
        <v>راتب عالي</v>
      </c>
    </row>
    <row r="232" spans="1:16" x14ac:dyDescent="0.3">
      <c r="A232" s="7">
        <v>59470</v>
      </c>
      <c r="B232" s="7" t="s">
        <v>497</v>
      </c>
      <c r="C232" s="7" t="s">
        <v>498</v>
      </c>
      <c r="D232" s="7" t="s">
        <v>34</v>
      </c>
      <c r="E232" s="7" t="s">
        <v>17</v>
      </c>
      <c r="F232" s="8">
        <v>37681</v>
      </c>
      <c r="G232" s="7">
        <f t="shared" ca="1" si="12"/>
        <v>23.183333333333334</v>
      </c>
      <c r="H232" s="7" t="s">
        <v>18</v>
      </c>
      <c r="I232" s="7" t="s">
        <v>19</v>
      </c>
      <c r="J232" s="7" t="s">
        <v>26</v>
      </c>
      <c r="K232" s="7" t="s">
        <v>21</v>
      </c>
      <c r="L232" s="8">
        <v>44954</v>
      </c>
      <c r="M232" s="7">
        <f t="shared" ca="1" si="13"/>
        <v>3.2749999999999999</v>
      </c>
      <c r="N232" s="7">
        <v>20829</v>
      </c>
      <c r="O232" s="7" t="str">
        <f t="shared" si="14"/>
        <v>يناير</v>
      </c>
      <c r="P232" s="7" t="str">
        <f t="shared" si="15"/>
        <v>راتب طبيعي</v>
      </c>
    </row>
    <row r="233" spans="1:16" x14ac:dyDescent="0.3">
      <c r="A233" s="9">
        <v>50628</v>
      </c>
      <c r="B233" s="9" t="s">
        <v>499</v>
      </c>
      <c r="C233" s="9" t="s">
        <v>500</v>
      </c>
      <c r="D233" s="9" t="s">
        <v>16</v>
      </c>
      <c r="E233" s="9" t="s">
        <v>17</v>
      </c>
      <c r="F233" s="10">
        <v>37698</v>
      </c>
      <c r="G233" s="7">
        <f t="shared" ca="1" si="12"/>
        <v>23.136111111111113</v>
      </c>
      <c r="H233" s="9" t="s">
        <v>36</v>
      </c>
      <c r="I233" s="9" t="s">
        <v>25</v>
      </c>
      <c r="J233" s="9" t="s">
        <v>20</v>
      </c>
      <c r="K233" s="9" t="s">
        <v>21</v>
      </c>
      <c r="L233" s="10">
        <v>44955</v>
      </c>
      <c r="M233" s="9">
        <f t="shared" ca="1" si="13"/>
        <v>3.2722222222222221</v>
      </c>
      <c r="N233" s="9">
        <v>6498</v>
      </c>
      <c r="O233" s="9" t="str">
        <f t="shared" si="14"/>
        <v>يناير</v>
      </c>
      <c r="P233" s="7" t="str">
        <f t="shared" si="15"/>
        <v>راتب طبيعي</v>
      </c>
    </row>
    <row r="234" spans="1:16" x14ac:dyDescent="0.3">
      <c r="A234" s="7">
        <v>55085</v>
      </c>
      <c r="B234" s="7" t="s">
        <v>501</v>
      </c>
      <c r="C234" s="7" t="s">
        <v>502</v>
      </c>
      <c r="D234" s="7" t="s">
        <v>146</v>
      </c>
      <c r="E234" s="7" t="s">
        <v>17</v>
      </c>
      <c r="F234" s="8">
        <v>37907</v>
      </c>
      <c r="G234" s="7">
        <f t="shared" ca="1" si="12"/>
        <v>22.566666666666666</v>
      </c>
      <c r="H234" s="7" t="s">
        <v>18</v>
      </c>
      <c r="I234" s="7" t="s">
        <v>19</v>
      </c>
      <c r="J234" s="7" t="s">
        <v>20</v>
      </c>
      <c r="K234" s="7" t="s">
        <v>21</v>
      </c>
      <c r="L234" s="8">
        <v>44956</v>
      </c>
      <c r="M234" s="7">
        <f t="shared" ca="1" si="13"/>
        <v>3.2694444444444444</v>
      </c>
      <c r="N234" s="7">
        <v>26183</v>
      </c>
      <c r="O234" s="7" t="str">
        <f t="shared" si="14"/>
        <v>يناير</v>
      </c>
      <c r="P234" s="7" t="str">
        <f t="shared" si="15"/>
        <v>راتب طبيعي</v>
      </c>
    </row>
    <row r="235" spans="1:16" x14ac:dyDescent="0.3">
      <c r="A235" s="9">
        <v>52445</v>
      </c>
      <c r="B235" s="9" t="s">
        <v>503</v>
      </c>
      <c r="C235" s="9" t="s">
        <v>504</v>
      </c>
      <c r="D235" s="9" t="s">
        <v>146</v>
      </c>
      <c r="E235" s="9" t="s">
        <v>17</v>
      </c>
      <c r="F235" s="10">
        <v>37723</v>
      </c>
      <c r="G235" s="7">
        <f t="shared" ca="1" si="12"/>
        <v>23.069444444444443</v>
      </c>
      <c r="H235" s="9" t="s">
        <v>18</v>
      </c>
      <c r="I235" s="9" t="s">
        <v>25</v>
      </c>
      <c r="J235" s="9" t="s">
        <v>26</v>
      </c>
      <c r="K235" s="9" t="s">
        <v>21</v>
      </c>
      <c r="L235" s="10">
        <v>44957</v>
      </c>
      <c r="M235" s="9">
        <f t="shared" ca="1" si="13"/>
        <v>3.2694444444444444</v>
      </c>
      <c r="N235" s="9">
        <v>6861</v>
      </c>
      <c r="O235" s="9" t="str">
        <f t="shared" si="14"/>
        <v>يناير</v>
      </c>
      <c r="P235" s="7" t="str">
        <f t="shared" si="15"/>
        <v>راتب طبيعي</v>
      </c>
    </row>
    <row r="236" spans="1:16" x14ac:dyDescent="0.3">
      <c r="A236" s="7">
        <v>55642</v>
      </c>
      <c r="B236" s="7" t="s">
        <v>505</v>
      </c>
      <c r="C236" s="7" t="s">
        <v>506</v>
      </c>
      <c r="D236" s="7" t="s">
        <v>95</v>
      </c>
      <c r="E236" s="7" t="s">
        <v>17</v>
      </c>
      <c r="F236" s="8">
        <v>37735</v>
      </c>
      <c r="G236" s="7">
        <f t="shared" ca="1" si="12"/>
        <v>23.036111111111111</v>
      </c>
      <c r="H236" s="7" t="s">
        <v>36</v>
      </c>
      <c r="I236" s="7" t="s">
        <v>25</v>
      </c>
      <c r="J236" s="7" t="s">
        <v>26</v>
      </c>
      <c r="K236" s="7" t="s">
        <v>21</v>
      </c>
      <c r="L236" s="8">
        <v>44958</v>
      </c>
      <c r="M236" s="7">
        <f t="shared" ca="1" si="13"/>
        <v>3.2666666666666666</v>
      </c>
      <c r="N236" s="7">
        <v>3175</v>
      </c>
      <c r="O236" s="7" t="str">
        <f t="shared" si="14"/>
        <v>فبراير</v>
      </c>
      <c r="P236" s="7" t="str">
        <f t="shared" si="15"/>
        <v>راتب عالي</v>
      </c>
    </row>
    <row r="237" spans="1:16" x14ac:dyDescent="0.3">
      <c r="A237" s="9">
        <v>54059</v>
      </c>
      <c r="B237" s="9" t="s">
        <v>507</v>
      </c>
      <c r="C237" s="9" t="s">
        <v>508</v>
      </c>
      <c r="D237" s="9" t="s">
        <v>66</v>
      </c>
      <c r="E237" s="9" t="s">
        <v>17</v>
      </c>
      <c r="F237" s="10">
        <v>37805</v>
      </c>
      <c r="G237" s="7">
        <f t="shared" ca="1" si="12"/>
        <v>22.844444444444445</v>
      </c>
      <c r="H237" s="9" t="s">
        <v>36</v>
      </c>
      <c r="I237" s="9" t="s">
        <v>25</v>
      </c>
      <c r="J237" s="9" t="s">
        <v>20</v>
      </c>
      <c r="K237" s="9" t="s">
        <v>21</v>
      </c>
      <c r="L237" s="10">
        <v>44959</v>
      </c>
      <c r="M237" s="9">
        <f t="shared" ca="1" si="13"/>
        <v>3.2638888888888888</v>
      </c>
      <c r="N237" s="9">
        <v>4992</v>
      </c>
      <c r="O237" s="9" t="str">
        <f t="shared" si="14"/>
        <v>فبراير</v>
      </c>
      <c r="P237" s="7" t="str">
        <f t="shared" si="15"/>
        <v>راتب عالي</v>
      </c>
    </row>
    <row r="238" spans="1:16" x14ac:dyDescent="0.3">
      <c r="A238" s="7">
        <v>58890</v>
      </c>
      <c r="B238" s="7" t="s">
        <v>509</v>
      </c>
      <c r="C238" s="7" t="s">
        <v>510</v>
      </c>
      <c r="D238" s="7" t="s">
        <v>66</v>
      </c>
      <c r="E238" s="7" t="s">
        <v>17</v>
      </c>
      <c r="F238" s="8">
        <v>37639</v>
      </c>
      <c r="G238" s="7">
        <f t="shared" ca="1" si="12"/>
        <v>23.302777777777777</v>
      </c>
      <c r="H238" s="7" t="s">
        <v>18</v>
      </c>
      <c r="I238" s="7" t="s">
        <v>25</v>
      </c>
      <c r="J238" s="7" t="s">
        <v>27</v>
      </c>
      <c r="K238" s="7" t="s">
        <v>21</v>
      </c>
      <c r="L238" s="8">
        <v>44960</v>
      </c>
      <c r="M238" s="7">
        <f t="shared" ca="1" si="13"/>
        <v>3.2611111111111111</v>
      </c>
      <c r="N238" s="7">
        <v>5432</v>
      </c>
      <c r="O238" s="7" t="str">
        <f t="shared" si="14"/>
        <v>فبراير</v>
      </c>
      <c r="P238" s="7" t="str">
        <f t="shared" si="15"/>
        <v>راتب عالي</v>
      </c>
    </row>
    <row r="239" spans="1:16" x14ac:dyDescent="0.3">
      <c r="A239" s="9">
        <v>57541</v>
      </c>
      <c r="B239" s="9" t="s">
        <v>511</v>
      </c>
      <c r="C239" s="9" t="s">
        <v>512</v>
      </c>
      <c r="D239" s="9" t="s">
        <v>43</v>
      </c>
      <c r="E239" s="9" t="s">
        <v>17</v>
      </c>
      <c r="F239" s="10">
        <v>37971</v>
      </c>
      <c r="G239" s="7">
        <f t="shared" ca="1" si="12"/>
        <v>22.391666666666666</v>
      </c>
      <c r="H239" s="9" t="s">
        <v>18</v>
      </c>
      <c r="I239" s="9" t="s">
        <v>46</v>
      </c>
      <c r="J239" s="9" t="s">
        <v>31</v>
      </c>
      <c r="K239" s="9" t="s">
        <v>21</v>
      </c>
      <c r="L239" s="10">
        <v>44961</v>
      </c>
      <c r="M239" s="9">
        <f t="shared" ca="1" si="13"/>
        <v>3.2583333333333333</v>
      </c>
      <c r="N239" s="9">
        <v>12345</v>
      </c>
      <c r="O239" s="9" t="str">
        <f t="shared" si="14"/>
        <v>فبراير</v>
      </c>
      <c r="P239" s="7" t="str">
        <f t="shared" si="15"/>
        <v>راتب طبيعي</v>
      </c>
    </row>
    <row r="240" spans="1:16" x14ac:dyDescent="0.3">
      <c r="A240" s="7">
        <v>58741</v>
      </c>
      <c r="B240" s="7" t="s">
        <v>513</v>
      </c>
      <c r="C240" s="7" t="s">
        <v>514</v>
      </c>
      <c r="D240" s="7" t="s">
        <v>16</v>
      </c>
      <c r="E240" s="7" t="s">
        <v>17</v>
      </c>
      <c r="F240" s="8">
        <v>37717</v>
      </c>
      <c r="G240" s="7">
        <f t="shared" ca="1" si="12"/>
        <v>23.086111111111112</v>
      </c>
      <c r="H240" s="7" t="s">
        <v>18</v>
      </c>
      <c r="I240" s="7" t="s">
        <v>19</v>
      </c>
      <c r="J240" s="7" t="s">
        <v>26</v>
      </c>
      <c r="K240" s="7" t="s">
        <v>21</v>
      </c>
      <c r="L240" s="8">
        <v>44962</v>
      </c>
      <c r="M240" s="7">
        <f t="shared" ca="1" si="13"/>
        <v>3.2555555555555555</v>
      </c>
      <c r="N240" s="7">
        <v>28639</v>
      </c>
      <c r="O240" s="7" t="str">
        <f t="shared" si="14"/>
        <v>فبراير</v>
      </c>
      <c r="P240" s="7" t="str">
        <f t="shared" si="15"/>
        <v>راتب طبيعي</v>
      </c>
    </row>
    <row r="241" spans="1:16" x14ac:dyDescent="0.3">
      <c r="A241" s="9">
        <v>53701</v>
      </c>
      <c r="B241" s="9" t="s">
        <v>515</v>
      </c>
      <c r="C241" s="9" t="s">
        <v>516</v>
      </c>
      <c r="D241" s="9" t="s">
        <v>16</v>
      </c>
      <c r="E241" s="9" t="s">
        <v>17</v>
      </c>
      <c r="F241" s="10">
        <v>37883</v>
      </c>
      <c r="G241" s="7">
        <f t="shared" ca="1" si="12"/>
        <v>22.633333333333333</v>
      </c>
      <c r="H241" s="9" t="s">
        <v>36</v>
      </c>
      <c r="I241" s="9" t="s">
        <v>25</v>
      </c>
      <c r="J241" s="9" t="s">
        <v>26</v>
      </c>
      <c r="K241" s="9" t="s">
        <v>21</v>
      </c>
      <c r="L241" s="10">
        <v>44963</v>
      </c>
      <c r="M241" s="9">
        <f t="shared" ca="1" si="13"/>
        <v>3.2527777777777778</v>
      </c>
      <c r="N241" s="9">
        <v>4865</v>
      </c>
      <c r="O241" s="9" t="str">
        <f t="shared" si="14"/>
        <v>فبراير</v>
      </c>
      <c r="P241" s="7" t="str">
        <f t="shared" si="15"/>
        <v>راتب عالي</v>
      </c>
    </row>
    <row r="242" spans="1:16" x14ac:dyDescent="0.3">
      <c r="A242" s="7">
        <v>53351</v>
      </c>
      <c r="B242" s="7" t="s">
        <v>517</v>
      </c>
      <c r="C242" s="7" t="s">
        <v>518</v>
      </c>
      <c r="D242" s="7" t="s">
        <v>24</v>
      </c>
      <c r="E242" s="7" t="s">
        <v>17</v>
      </c>
      <c r="F242" s="8">
        <v>37653</v>
      </c>
      <c r="G242" s="7">
        <f t="shared" ca="1" si="12"/>
        <v>23.266666666666666</v>
      </c>
      <c r="H242" s="7" t="s">
        <v>36</v>
      </c>
      <c r="I242" s="7" t="s">
        <v>25</v>
      </c>
      <c r="J242" s="7" t="s">
        <v>26</v>
      </c>
      <c r="K242" s="7" t="s">
        <v>21</v>
      </c>
      <c r="L242" s="8">
        <v>44964</v>
      </c>
      <c r="M242" s="7">
        <f t="shared" ca="1" si="13"/>
        <v>3.25</v>
      </c>
      <c r="N242" s="7">
        <v>4238</v>
      </c>
      <c r="O242" s="7" t="str">
        <f t="shared" si="14"/>
        <v>فبراير</v>
      </c>
      <c r="P242" s="7" t="str">
        <f t="shared" si="15"/>
        <v>راتب عالي</v>
      </c>
    </row>
    <row r="243" spans="1:16" x14ac:dyDescent="0.3">
      <c r="A243" s="9">
        <v>58914</v>
      </c>
      <c r="B243" s="9" t="s">
        <v>519</v>
      </c>
      <c r="C243" s="9" t="s">
        <v>520</v>
      </c>
      <c r="D243" s="9" t="s">
        <v>34</v>
      </c>
      <c r="E243" s="9" t="s">
        <v>17</v>
      </c>
      <c r="F243" s="10">
        <v>37858</v>
      </c>
      <c r="G243" s="7">
        <f t="shared" ca="1" si="12"/>
        <v>22.7</v>
      </c>
      <c r="H243" s="9" t="s">
        <v>18</v>
      </c>
      <c r="I243" s="9" t="s">
        <v>25</v>
      </c>
      <c r="J243" s="9" t="s">
        <v>26</v>
      </c>
      <c r="K243" s="9" t="s">
        <v>21</v>
      </c>
      <c r="L243" s="10">
        <v>44965</v>
      </c>
      <c r="M243" s="9">
        <f t="shared" ca="1" si="13"/>
        <v>3.2472222222222222</v>
      </c>
      <c r="N243" s="9">
        <v>3847</v>
      </c>
      <c r="O243" s="9" t="str">
        <f t="shared" si="14"/>
        <v>فبراير</v>
      </c>
      <c r="P243" s="7" t="str">
        <f t="shared" si="15"/>
        <v>راتب عالي</v>
      </c>
    </row>
    <row r="244" spans="1:16" x14ac:dyDescent="0.3">
      <c r="A244" s="7">
        <v>51533</v>
      </c>
      <c r="B244" s="7" t="s">
        <v>521</v>
      </c>
      <c r="C244" s="7" t="s">
        <v>522</v>
      </c>
      <c r="D244" s="7" t="s">
        <v>16</v>
      </c>
      <c r="E244" s="7" t="s">
        <v>17</v>
      </c>
      <c r="F244" s="8">
        <v>37641</v>
      </c>
      <c r="G244" s="7">
        <f t="shared" ca="1" si="12"/>
        <v>23.297222222222221</v>
      </c>
      <c r="H244" s="7" t="s">
        <v>18</v>
      </c>
      <c r="I244" s="7" t="s">
        <v>25</v>
      </c>
      <c r="J244" s="7" t="s">
        <v>20</v>
      </c>
      <c r="K244" s="7" t="s">
        <v>21</v>
      </c>
      <c r="L244" s="8">
        <v>44966</v>
      </c>
      <c r="M244" s="7">
        <f t="shared" ca="1" si="13"/>
        <v>3.2444444444444445</v>
      </c>
      <c r="N244" s="7">
        <v>5730</v>
      </c>
      <c r="O244" s="7" t="str">
        <f t="shared" si="14"/>
        <v>فبراير</v>
      </c>
      <c r="P244" s="7" t="str">
        <f t="shared" si="15"/>
        <v>راتب عالي</v>
      </c>
    </row>
    <row r="245" spans="1:16" x14ac:dyDescent="0.3">
      <c r="A245" s="9">
        <v>55525</v>
      </c>
      <c r="B245" s="9" t="s">
        <v>523</v>
      </c>
      <c r="C245" s="9" t="s">
        <v>524</v>
      </c>
      <c r="D245" s="9" t="s">
        <v>53</v>
      </c>
      <c r="E245" s="9" t="s">
        <v>17</v>
      </c>
      <c r="F245" s="10">
        <v>37720</v>
      </c>
      <c r="G245" s="7">
        <f t="shared" ca="1" si="12"/>
        <v>23.077777777777779</v>
      </c>
      <c r="H245" s="9" t="s">
        <v>18</v>
      </c>
      <c r="I245" s="9" t="s">
        <v>25</v>
      </c>
      <c r="J245" s="9" t="s">
        <v>20</v>
      </c>
      <c r="K245" s="9" t="s">
        <v>21</v>
      </c>
      <c r="L245" s="10">
        <v>44967</v>
      </c>
      <c r="M245" s="9">
        <f t="shared" ca="1" si="13"/>
        <v>3.2416666666666667</v>
      </c>
      <c r="N245" s="9">
        <v>3025</v>
      </c>
      <c r="O245" s="9" t="str">
        <f t="shared" si="14"/>
        <v>فبراير</v>
      </c>
      <c r="P245" s="7" t="str">
        <f t="shared" si="15"/>
        <v>راتب عالي</v>
      </c>
    </row>
    <row r="246" spans="1:16" x14ac:dyDescent="0.3">
      <c r="A246" s="7">
        <v>52283</v>
      </c>
      <c r="B246" s="7" t="s">
        <v>525</v>
      </c>
      <c r="C246" s="7" t="s">
        <v>526</v>
      </c>
      <c r="D246" s="7" t="s">
        <v>16</v>
      </c>
      <c r="E246" s="7" t="s">
        <v>17</v>
      </c>
      <c r="F246" s="8">
        <v>37707</v>
      </c>
      <c r="G246" s="7">
        <f t="shared" ca="1" si="12"/>
        <v>23.111111111111111</v>
      </c>
      <c r="H246" s="7" t="s">
        <v>18</v>
      </c>
      <c r="I246" s="7" t="s">
        <v>25</v>
      </c>
      <c r="J246" s="7" t="s">
        <v>20</v>
      </c>
      <c r="K246" s="7" t="s">
        <v>21</v>
      </c>
      <c r="L246" s="8">
        <v>44968</v>
      </c>
      <c r="M246" s="7">
        <f t="shared" ca="1" si="13"/>
        <v>3.2388888888888889</v>
      </c>
      <c r="N246" s="7">
        <v>6015</v>
      </c>
      <c r="O246" s="7" t="str">
        <f t="shared" si="14"/>
        <v>فبراير</v>
      </c>
      <c r="P246" s="7" t="str">
        <f t="shared" si="15"/>
        <v>راتب طبيعي</v>
      </c>
    </row>
    <row r="247" spans="1:16" x14ac:dyDescent="0.3">
      <c r="A247" s="9">
        <v>53118</v>
      </c>
      <c r="B247" s="9" t="s">
        <v>527</v>
      </c>
      <c r="C247" s="9" t="s">
        <v>528</v>
      </c>
      <c r="D247" s="9" t="s">
        <v>95</v>
      </c>
      <c r="E247" s="9" t="s">
        <v>17</v>
      </c>
      <c r="F247" s="10">
        <v>37976</v>
      </c>
      <c r="G247" s="7">
        <f t="shared" ca="1" si="12"/>
        <v>22.377777777777776</v>
      </c>
      <c r="H247" s="9" t="s">
        <v>36</v>
      </c>
      <c r="I247" s="9" t="s">
        <v>25</v>
      </c>
      <c r="J247" s="9" t="s">
        <v>26</v>
      </c>
      <c r="K247" s="9" t="s">
        <v>21</v>
      </c>
      <c r="L247" s="10">
        <v>44969</v>
      </c>
      <c r="M247" s="9">
        <f t="shared" ca="1" si="13"/>
        <v>3.2361111111111112</v>
      </c>
      <c r="N247" s="9">
        <v>4267</v>
      </c>
      <c r="O247" s="9" t="str">
        <f t="shared" si="14"/>
        <v>فبراير</v>
      </c>
      <c r="P247" s="7" t="str">
        <f t="shared" si="15"/>
        <v>راتب عالي</v>
      </c>
    </row>
    <row r="248" spans="1:16" x14ac:dyDescent="0.3">
      <c r="A248" s="7">
        <v>50689</v>
      </c>
      <c r="B248" s="7" t="s">
        <v>529</v>
      </c>
      <c r="C248" s="7" t="s">
        <v>530</v>
      </c>
      <c r="D248" s="7" t="s">
        <v>95</v>
      </c>
      <c r="E248" s="7" t="s">
        <v>17</v>
      </c>
      <c r="F248" s="8">
        <v>37712</v>
      </c>
      <c r="G248" s="7">
        <f t="shared" ca="1" si="12"/>
        <v>23.1</v>
      </c>
      <c r="H248" s="7" t="s">
        <v>36</v>
      </c>
      <c r="I248" s="7" t="s">
        <v>25</v>
      </c>
      <c r="J248" s="7" t="s">
        <v>31</v>
      </c>
      <c r="K248" s="7" t="s">
        <v>21</v>
      </c>
      <c r="L248" s="8">
        <v>44970</v>
      </c>
      <c r="M248" s="7">
        <f t="shared" ca="1" si="13"/>
        <v>3.2333333333333334</v>
      </c>
      <c r="N248" s="7">
        <v>4624</v>
      </c>
      <c r="O248" s="7" t="str">
        <f t="shared" si="14"/>
        <v>فبراير</v>
      </c>
      <c r="P248" s="7" t="str">
        <f t="shared" si="15"/>
        <v>راتب عالي</v>
      </c>
    </row>
    <row r="249" spans="1:16" x14ac:dyDescent="0.3">
      <c r="A249" s="9">
        <v>54806</v>
      </c>
      <c r="B249" s="9" t="s">
        <v>531</v>
      </c>
      <c r="C249" s="9" t="s">
        <v>532</v>
      </c>
      <c r="D249" s="9" t="s">
        <v>34</v>
      </c>
      <c r="E249" s="9" t="s">
        <v>17</v>
      </c>
      <c r="F249" s="10">
        <v>37830</v>
      </c>
      <c r="G249" s="7">
        <f t="shared" ca="1" si="12"/>
        <v>22.774999999999999</v>
      </c>
      <c r="H249" s="9" t="s">
        <v>36</v>
      </c>
      <c r="I249" s="9" t="s">
        <v>25</v>
      </c>
      <c r="J249" s="9" t="s">
        <v>21</v>
      </c>
      <c r="K249" s="9" t="s">
        <v>21</v>
      </c>
      <c r="L249" s="10">
        <v>44971</v>
      </c>
      <c r="M249" s="9">
        <f t="shared" ca="1" si="13"/>
        <v>3.2305555555555556</v>
      </c>
      <c r="N249" s="9">
        <v>4161</v>
      </c>
      <c r="O249" s="9" t="str">
        <f t="shared" si="14"/>
        <v>فبراير</v>
      </c>
      <c r="P249" s="7" t="str">
        <f t="shared" si="15"/>
        <v>راتب عالي</v>
      </c>
    </row>
    <row r="250" spans="1:16" x14ac:dyDescent="0.3">
      <c r="A250" s="7">
        <v>58405</v>
      </c>
      <c r="B250" s="7" t="s">
        <v>533</v>
      </c>
      <c r="C250" s="7" t="s">
        <v>534</v>
      </c>
      <c r="D250" s="7" t="s">
        <v>66</v>
      </c>
      <c r="E250" s="7" t="s">
        <v>17</v>
      </c>
      <c r="F250" s="8">
        <v>37960</v>
      </c>
      <c r="G250" s="7">
        <f t="shared" ca="1" si="12"/>
        <v>22.422222222222221</v>
      </c>
      <c r="H250" s="7" t="s">
        <v>36</v>
      </c>
      <c r="I250" s="7" t="s">
        <v>46</v>
      </c>
      <c r="J250" s="7" t="s">
        <v>27</v>
      </c>
      <c r="K250" s="7" t="s">
        <v>21</v>
      </c>
      <c r="L250" s="8">
        <v>44972</v>
      </c>
      <c r="M250" s="7">
        <f t="shared" ca="1" si="13"/>
        <v>3.2277777777777779</v>
      </c>
      <c r="N250" s="7">
        <v>14049</v>
      </c>
      <c r="O250" s="7" t="str">
        <f t="shared" si="14"/>
        <v>فبراير</v>
      </c>
      <c r="P250" s="7" t="str">
        <f t="shared" si="15"/>
        <v>راتب طبيعي</v>
      </c>
    </row>
    <row r="251" spans="1:16" x14ac:dyDescent="0.3">
      <c r="A251" s="9">
        <v>57221</v>
      </c>
      <c r="B251" s="9" t="s">
        <v>535</v>
      </c>
      <c r="C251" s="9" t="s">
        <v>536</v>
      </c>
      <c r="D251" s="9" t="s">
        <v>40</v>
      </c>
      <c r="E251" s="9" t="s">
        <v>17</v>
      </c>
      <c r="F251" s="10">
        <v>37715</v>
      </c>
      <c r="G251" s="7">
        <f t="shared" ca="1" si="12"/>
        <v>23.091666666666665</v>
      </c>
      <c r="H251" s="9" t="s">
        <v>18</v>
      </c>
      <c r="I251" s="9" t="s">
        <v>25</v>
      </c>
      <c r="J251" s="9" t="s">
        <v>20</v>
      </c>
      <c r="K251" s="9" t="s">
        <v>21</v>
      </c>
      <c r="L251" s="10">
        <v>44973</v>
      </c>
      <c r="M251" s="9">
        <f t="shared" ca="1" si="13"/>
        <v>3.2250000000000001</v>
      </c>
      <c r="N251" s="9">
        <v>4322</v>
      </c>
      <c r="O251" s="9" t="str">
        <f t="shared" si="14"/>
        <v>فبراير</v>
      </c>
      <c r="P251" s="7" t="str">
        <f t="shared" si="15"/>
        <v>راتب عالي</v>
      </c>
    </row>
    <row r="252" spans="1:16" x14ac:dyDescent="0.3">
      <c r="A252" s="7">
        <v>50801</v>
      </c>
      <c r="B252" s="7" t="s">
        <v>537</v>
      </c>
      <c r="C252" s="7" t="s">
        <v>538</v>
      </c>
      <c r="D252" s="7" t="s">
        <v>146</v>
      </c>
      <c r="E252" s="7" t="s">
        <v>17</v>
      </c>
      <c r="F252" s="8">
        <v>37818</v>
      </c>
      <c r="G252" s="7">
        <f t="shared" ca="1" si="12"/>
        <v>22.808333333333334</v>
      </c>
      <c r="H252" s="7" t="s">
        <v>18</v>
      </c>
      <c r="I252" s="7" t="s">
        <v>25</v>
      </c>
      <c r="J252" s="7" t="s">
        <v>27</v>
      </c>
      <c r="K252" s="7" t="s">
        <v>21</v>
      </c>
      <c r="L252" s="8">
        <v>44974</v>
      </c>
      <c r="M252" s="7">
        <f t="shared" ca="1" si="13"/>
        <v>3.2222222222222223</v>
      </c>
      <c r="N252" s="7">
        <v>5263</v>
      </c>
      <c r="O252" s="7" t="str">
        <f t="shared" si="14"/>
        <v>فبراير</v>
      </c>
      <c r="P252" s="7" t="str">
        <f t="shared" si="15"/>
        <v>راتب عالي</v>
      </c>
    </row>
    <row r="253" spans="1:16" x14ac:dyDescent="0.3">
      <c r="A253" s="9">
        <v>59399</v>
      </c>
      <c r="B253" s="9" t="s">
        <v>539</v>
      </c>
      <c r="C253" s="9" t="s">
        <v>540</v>
      </c>
      <c r="D253" s="9" t="s">
        <v>146</v>
      </c>
      <c r="E253" s="9" t="s">
        <v>17</v>
      </c>
      <c r="F253" s="10">
        <v>37982</v>
      </c>
      <c r="G253" s="7">
        <f t="shared" ca="1" si="12"/>
        <v>22.361111111111111</v>
      </c>
      <c r="H253" s="9" t="s">
        <v>36</v>
      </c>
      <c r="I253" s="9" t="s">
        <v>25</v>
      </c>
      <c r="J253" s="9" t="s">
        <v>27</v>
      </c>
      <c r="K253" s="9" t="s">
        <v>21</v>
      </c>
      <c r="L253" s="10">
        <v>44975</v>
      </c>
      <c r="M253" s="9">
        <f t="shared" ca="1" si="13"/>
        <v>3.2194444444444446</v>
      </c>
      <c r="N253" s="9">
        <v>3717</v>
      </c>
      <c r="O253" s="9" t="str">
        <f t="shared" si="14"/>
        <v>فبراير</v>
      </c>
      <c r="P253" s="7" t="str">
        <f t="shared" si="15"/>
        <v>راتب عالي</v>
      </c>
    </row>
    <row r="254" spans="1:16" x14ac:dyDescent="0.3">
      <c r="A254" s="7">
        <v>58634</v>
      </c>
      <c r="B254" s="7" t="s">
        <v>541</v>
      </c>
      <c r="C254" s="7" t="s">
        <v>542</v>
      </c>
      <c r="D254" s="7" t="s">
        <v>53</v>
      </c>
      <c r="E254" s="7" t="s">
        <v>17</v>
      </c>
      <c r="F254" s="8">
        <v>37854</v>
      </c>
      <c r="G254" s="7">
        <f t="shared" ca="1" si="12"/>
        <v>22.711111111111112</v>
      </c>
      <c r="H254" s="7" t="s">
        <v>18</v>
      </c>
      <c r="I254" s="7" t="s">
        <v>25</v>
      </c>
      <c r="J254" s="7" t="s">
        <v>31</v>
      </c>
      <c r="K254" s="7" t="s">
        <v>21</v>
      </c>
      <c r="L254" s="8">
        <v>44976</v>
      </c>
      <c r="M254" s="7">
        <f t="shared" ca="1" si="13"/>
        <v>3.2166666666666668</v>
      </c>
      <c r="N254" s="7">
        <v>6185</v>
      </c>
      <c r="O254" s="7" t="str">
        <f t="shared" si="14"/>
        <v>فبراير</v>
      </c>
      <c r="P254" s="7" t="str">
        <f t="shared" si="15"/>
        <v>راتب طبيعي</v>
      </c>
    </row>
    <row r="255" spans="1:16" x14ac:dyDescent="0.3">
      <c r="A255" s="9">
        <v>55262</v>
      </c>
      <c r="B255" s="9" t="s">
        <v>543</v>
      </c>
      <c r="C255" s="9" t="s">
        <v>544</v>
      </c>
      <c r="D255" s="9" t="s">
        <v>34</v>
      </c>
      <c r="E255" s="9" t="s">
        <v>17</v>
      </c>
      <c r="F255" s="10">
        <v>37839</v>
      </c>
      <c r="G255" s="7">
        <f t="shared" ca="1" si="12"/>
        <v>22.752777777777776</v>
      </c>
      <c r="H255" s="9" t="s">
        <v>18</v>
      </c>
      <c r="I255" s="9" t="s">
        <v>25</v>
      </c>
      <c r="J255" s="9" t="s">
        <v>26</v>
      </c>
      <c r="K255" s="9" t="s">
        <v>21</v>
      </c>
      <c r="L255" s="10">
        <v>44977</v>
      </c>
      <c r="M255" s="9">
        <f t="shared" ca="1" si="13"/>
        <v>3.213888888888889</v>
      </c>
      <c r="N255" s="9">
        <v>6120</v>
      </c>
      <c r="O255" s="9" t="str">
        <f t="shared" si="14"/>
        <v>فبراير</v>
      </c>
      <c r="P255" s="7" t="str">
        <f t="shared" si="15"/>
        <v>راتب طبيعي</v>
      </c>
    </row>
    <row r="256" spans="1:16" x14ac:dyDescent="0.3">
      <c r="A256" s="7">
        <v>51880</v>
      </c>
      <c r="B256" s="7" t="s">
        <v>545</v>
      </c>
      <c r="C256" s="7" t="s">
        <v>546</v>
      </c>
      <c r="D256" s="7" t="s">
        <v>24</v>
      </c>
      <c r="E256" s="7" t="s">
        <v>17</v>
      </c>
      <c r="F256" s="8">
        <v>37926</v>
      </c>
      <c r="G256" s="7">
        <f t="shared" ca="1" si="12"/>
        <v>22.516666666666666</v>
      </c>
      <c r="H256" s="7" t="s">
        <v>36</v>
      </c>
      <c r="I256" s="7" t="s">
        <v>25</v>
      </c>
      <c r="J256" s="7" t="s">
        <v>21</v>
      </c>
      <c r="K256" s="7" t="s">
        <v>21</v>
      </c>
      <c r="L256" s="8">
        <v>44978</v>
      </c>
      <c r="M256" s="7">
        <f t="shared" ca="1" si="13"/>
        <v>3.2111111111111112</v>
      </c>
      <c r="N256" s="7">
        <v>5435</v>
      </c>
      <c r="O256" s="7" t="str">
        <f t="shared" si="14"/>
        <v>فبراير</v>
      </c>
      <c r="P256" s="7" t="str">
        <f t="shared" si="15"/>
        <v>راتب عالي</v>
      </c>
    </row>
    <row r="257" spans="1:16" x14ac:dyDescent="0.3">
      <c r="A257" s="9">
        <v>57613</v>
      </c>
      <c r="B257" s="9" t="s">
        <v>547</v>
      </c>
      <c r="C257" s="9" t="s">
        <v>548</v>
      </c>
      <c r="D257" s="9" t="s">
        <v>30</v>
      </c>
      <c r="E257" s="9" t="s">
        <v>17</v>
      </c>
      <c r="F257" s="10">
        <v>37963</v>
      </c>
      <c r="G257" s="7">
        <f t="shared" ca="1" si="12"/>
        <v>22.413888888888888</v>
      </c>
      <c r="H257" s="9" t="s">
        <v>36</v>
      </c>
      <c r="I257" s="9" t="s">
        <v>25</v>
      </c>
      <c r="J257" s="9" t="s">
        <v>26</v>
      </c>
      <c r="K257" s="9" t="s">
        <v>21</v>
      </c>
      <c r="L257" s="10">
        <v>44979</v>
      </c>
      <c r="M257" s="9">
        <f t="shared" ca="1" si="13"/>
        <v>3.2083333333333335</v>
      </c>
      <c r="N257" s="9">
        <v>6959</v>
      </c>
      <c r="O257" s="9" t="str">
        <f t="shared" si="14"/>
        <v>فبراير</v>
      </c>
      <c r="P257" s="7" t="str">
        <f t="shared" si="15"/>
        <v>راتب طبيعي</v>
      </c>
    </row>
    <row r="258" spans="1:16" x14ac:dyDescent="0.3">
      <c r="A258" s="7">
        <v>58666</v>
      </c>
      <c r="B258" s="7" t="s">
        <v>549</v>
      </c>
      <c r="C258" s="7" t="s">
        <v>550</v>
      </c>
      <c r="D258" s="7" t="s">
        <v>40</v>
      </c>
      <c r="E258" s="7" t="s">
        <v>17</v>
      </c>
      <c r="F258" s="8">
        <v>37768</v>
      </c>
      <c r="G258" s="7">
        <f t="shared" ca="1" si="12"/>
        <v>22.944444444444443</v>
      </c>
      <c r="H258" s="7" t="s">
        <v>18</v>
      </c>
      <c r="I258" s="7" t="s">
        <v>19</v>
      </c>
      <c r="J258" s="7" t="s">
        <v>20</v>
      </c>
      <c r="K258" s="7" t="s">
        <v>21</v>
      </c>
      <c r="L258" s="8">
        <v>44980</v>
      </c>
      <c r="M258" s="7">
        <f t="shared" ca="1" si="13"/>
        <v>3.2055555555555557</v>
      </c>
      <c r="N258" s="7">
        <v>28369</v>
      </c>
      <c r="O258" s="7" t="str">
        <f t="shared" si="14"/>
        <v>فبراير</v>
      </c>
      <c r="P258" s="7" t="str">
        <f t="shared" si="15"/>
        <v>راتب طبيعي</v>
      </c>
    </row>
    <row r="259" spans="1:16" x14ac:dyDescent="0.3">
      <c r="A259" s="9">
        <v>54914</v>
      </c>
      <c r="B259" s="9" t="s">
        <v>551</v>
      </c>
      <c r="C259" s="9" t="s">
        <v>552</v>
      </c>
      <c r="D259" s="9" t="s">
        <v>34</v>
      </c>
      <c r="E259" s="9" t="s">
        <v>17</v>
      </c>
      <c r="F259" s="10">
        <v>37699</v>
      </c>
      <c r="G259" s="7">
        <f t="shared" ref="G259:G322" ca="1" si="16">YEARFRAC(F259,TODAY())</f>
        <v>23.133333333333333</v>
      </c>
      <c r="H259" s="9" t="s">
        <v>18</v>
      </c>
      <c r="I259" s="9" t="s">
        <v>25</v>
      </c>
      <c r="J259" s="9" t="s">
        <v>27</v>
      </c>
      <c r="K259" s="9" t="s">
        <v>21</v>
      </c>
      <c r="L259" s="10">
        <v>44981</v>
      </c>
      <c r="M259" s="9">
        <f t="shared" ref="M259:M322" ca="1" si="17">YEARFRAC(L259,TODAY())</f>
        <v>3.2027777777777779</v>
      </c>
      <c r="N259" s="9">
        <v>3724</v>
      </c>
      <c r="O259" s="9" t="str">
        <f t="shared" ref="O259:O322" si="18">TEXT(L259,"mmm")</f>
        <v>فبراير</v>
      </c>
      <c r="P259" s="7" t="str">
        <f t="shared" ref="P259:P322" si="19">IF(N259&gt;=S$10,"راتب طبيعي","راتب عالي")</f>
        <v>راتب عالي</v>
      </c>
    </row>
    <row r="260" spans="1:16" x14ac:dyDescent="0.3">
      <c r="A260" s="7">
        <v>59549</v>
      </c>
      <c r="B260" s="7" t="s">
        <v>553</v>
      </c>
      <c r="C260" s="7" t="s">
        <v>554</v>
      </c>
      <c r="D260" s="7" t="s">
        <v>24</v>
      </c>
      <c r="E260" s="7" t="s">
        <v>17</v>
      </c>
      <c r="F260" s="8">
        <v>37874</v>
      </c>
      <c r="G260" s="7">
        <f t="shared" ca="1" si="16"/>
        <v>22.658333333333335</v>
      </c>
      <c r="H260" s="7" t="s">
        <v>36</v>
      </c>
      <c r="I260" s="7" t="s">
        <v>25</v>
      </c>
      <c r="J260" s="7" t="s">
        <v>31</v>
      </c>
      <c r="K260" s="7" t="s">
        <v>21</v>
      </c>
      <c r="L260" s="8">
        <v>44982</v>
      </c>
      <c r="M260" s="7">
        <f t="shared" ca="1" si="17"/>
        <v>3.2</v>
      </c>
      <c r="N260" s="7">
        <v>5441</v>
      </c>
      <c r="O260" s="7" t="str">
        <f t="shared" si="18"/>
        <v>فبراير</v>
      </c>
      <c r="P260" s="7" t="str">
        <f t="shared" si="19"/>
        <v>راتب عالي</v>
      </c>
    </row>
    <row r="261" spans="1:16" x14ac:dyDescent="0.3">
      <c r="A261" s="9">
        <v>55574</v>
      </c>
      <c r="B261" s="9" t="s">
        <v>555</v>
      </c>
      <c r="C261" s="9" t="s">
        <v>556</v>
      </c>
      <c r="D261" s="9" t="s">
        <v>24</v>
      </c>
      <c r="E261" s="9" t="s">
        <v>17</v>
      </c>
      <c r="F261" s="10">
        <v>37959</v>
      </c>
      <c r="G261" s="7">
        <f t="shared" ca="1" si="16"/>
        <v>22.425000000000001</v>
      </c>
      <c r="H261" s="9" t="s">
        <v>36</v>
      </c>
      <c r="I261" s="9" t="s">
        <v>25</v>
      </c>
      <c r="J261" s="9" t="s">
        <v>31</v>
      </c>
      <c r="K261" s="9" t="s">
        <v>21</v>
      </c>
      <c r="L261" s="10">
        <v>44983</v>
      </c>
      <c r="M261" s="9">
        <f t="shared" ca="1" si="17"/>
        <v>3.1972222222222224</v>
      </c>
      <c r="N261" s="9">
        <v>4267</v>
      </c>
      <c r="O261" s="9" t="str">
        <f t="shared" si="18"/>
        <v>فبراير</v>
      </c>
      <c r="P261" s="7" t="str">
        <f t="shared" si="19"/>
        <v>راتب عالي</v>
      </c>
    </row>
    <row r="262" spans="1:16" x14ac:dyDescent="0.3">
      <c r="A262" s="7">
        <v>56158</v>
      </c>
      <c r="B262" s="7" t="s">
        <v>557</v>
      </c>
      <c r="C262" s="7" t="s">
        <v>558</v>
      </c>
      <c r="D262" s="7" t="s">
        <v>146</v>
      </c>
      <c r="E262" s="7" t="s">
        <v>17</v>
      </c>
      <c r="F262" s="8">
        <v>37908</v>
      </c>
      <c r="G262" s="7">
        <f t="shared" ca="1" si="16"/>
        <v>22.56388888888889</v>
      </c>
      <c r="H262" s="7" t="s">
        <v>18</v>
      </c>
      <c r="I262" s="7" t="s">
        <v>46</v>
      </c>
      <c r="J262" s="7" t="s">
        <v>27</v>
      </c>
      <c r="K262" s="7" t="s">
        <v>21</v>
      </c>
      <c r="L262" s="8">
        <v>44984</v>
      </c>
      <c r="M262" s="7">
        <f t="shared" ca="1" si="17"/>
        <v>3.1944444444444446</v>
      </c>
      <c r="N262" s="7">
        <v>13178</v>
      </c>
      <c r="O262" s="7" t="str">
        <f t="shared" si="18"/>
        <v>فبراير</v>
      </c>
      <c r="P262" s="7" t="str">
        <f t="shared" si="19"/>
        <v>راتب طبيعي</v>
      </c>
    </row>
    <row r="263" spans="1:16" x14ac:dyDescent="0.3">
      <c r="A263" s="9">
        <v>51564</v>
      </c>
      <c r="B263" s="9" t="s">
        <v>559</v>
      </c>
      <c r="C263" s="9" t="s">
        <v>560</v>
      </c>
      <c r="D263" s="9" t="s">
        <v>43</v>
      </c>
      <c r="E263" s="9" t="s">
        <v>17</v>
      </c>
      <c r="F263" s="10">
        <v>37957</v>
      </c>
      <c r="G263" s="7">
        <f t="shared" ca="1" si="16"/>
        <v>22.430555555555557</v>
      </c>
      <c r="H263" s="9" t="s">
        <v>18</v>
      </c>
      <c r="I263" s="9" t="s">
        <v>46</v>
      </c>
      <c r="J263" s="9" t="s">
        <v>26</v>
      </c>
      <c r="K263" s="9" t="s">
        <v>21</v>
      </c>
      <c r="L263" s="10">
        <v>44985</v>
      </c>
      <c r="M263" s="9">
        <f t="shared" ca="1" si="17"/>
        <v>3.1861111111111109</v>
      </c>
      <c r="N263" s="9">
        <v>13991</v>
      </c>
      <c r="O263" s="9" t="str">
        <f t="shared" si="18"/>
        <v>فبراير</v>
      </c>
      <c r="P263" s="7" t="str">
        <f t="shared" si="19"/>
        <v>راتب طبيعي</v>
      </c>
    </row>
    <row r="264" spans="1:16" x14ac:dyDescent="0.3">
      <c r="A264" s="7">
        <v>52113</v>
      </c>
      <c r="B264" s="7" t="s">
        <v>561</v>
      </c>
      <c r="C264" s="7" t="s">
        <v>562</v>
      </c>
      <c r="D264" s="7" t="s">
        <v>40</v>
      </c>
      <c r="E264" s="7" t="s">
        <v>17</v>
      </c>
      <c r="F264" s="8">
        <v>37782</v>
      </c>
      <c r="G264" s="7">
        <f t="shared" ca="1" si="16"/>
        <v>22.908333333333335</v>
      </c>
      <c r="H264" s="7" t="s">
        <v>18</v>
      </c>
      <c r="I264" s="7" t="s">
        <v>46</v>
      </c>
      <c r="J264" s="7" t="s">
        <v>31</v>
      </c>
      <c r="K264" s="7" t="s">
        <v>21</v>
      </c>
      <c r="L264" s="8">
        <v>44986</v>
      </c>
      <c r="M264" s="7">
        <f t="shared" ca="1" si="17"/>
        <v>3.1833333333333331</v>
      </c>
      <c r="N264" s="7">
        <v>10070</v>
      </c>
      <c r="O264" s="7" t="str">
        <f t="shared" si="18"/>
        <v>مارس</v>
      </c>
      <c r="P264" s="7" t="str">
        <f t="shared" si="19"/>
        <v>راتب طبيعي</v>
      </c>
    </row>
    <row r="265" spans="1:16" x14ac:dyDescent="0.3">
      <c r="A265" s="9">
        <v>54388</v>
      </c>
      <c r="B265" s="9" t="s">
        <v>563</v>
      </c>
      <c r="C265" s="9" t="s">
        <v>564</v>
      </c>
      <c r="D265" s="9" t="s">
        <v>53</v>
      </c>
      <c r="E265" s="9" t="s">
        <v>17</v>
      </c>
      <c r="F265" s="10">
        <v>37797</v>
      </c>
      <c r="G265" s="7">
        <f t="shared" ca="1" si="16"/>
        <v>22.866666666666667</v>
      </c>
      <c r="H265" s="9" t="s">
        <v>18</v>
      </c>
      <c r="I265" s="9" t="s">
        <v>25</v>
      </c>
      <c r="J265" s="9" t="s">
        <v>21</v>
      </c>
      <c r="K265" s="9" t="s">
        <v>21</v>
      </c>
      <c r="L265" s="10">
        <v>44987</v>
      </c>
      <c r="M265" s="9">
        <f t="shared" ca="1" si="17"/>
        <v>3.1805555555555554</v>
      </c>
      <c r="N265" s="9">
        <v>3758</v>
      </c>
      <c r="O265" s="9" t="str">
        <f t="shared" si="18"/>
        <v>مارس</v>
      </c>
      <c r="P265" s="7" t="str">
        <f t="shared" si="19"/>
        <v>راتب عالي</v>
      </c>
    </row>
    <row r="266" spans="1:16" x14ac:dyDescent="0.3">
      <c r="A266" s="7">
        <v>55473</v>
      </c>
      <c r="B266" s="7" t="s">
        <v>565</v>
      </c>
      <c r="C266" s="7" t="s">
        <v>566</v>
      </c>
      <c r="D266" s="7" t="s">
        <v>16</v>
      </c>
      <c r="E266" s="7" t="s">
        <v>17</v>
      </c>
      <c r="F266" s="8">
        <v>37766</v>
      </c>
      <c r="G266" s="7">
        <f t="shared" ca="1" si="16"/>
        <v>22.95</v>
      </c>
      <c r="H266" s="7" t="s">
        <v>18</v>
      </c>
      <c r="I266" s="7" t="s">
        <v>25</v>
      </c>
      <c r="J266" s="7" t="s">
        <v>31</v>
      </c>
      <c r="K266" s="7" t="s">
        <v>21</v>
      </c>
      <c r="L266" s="8">
        <v>44988</v>
      </c>
      <c r="M266" s="7">
        <f t="shared" ca="1" si="17"/>
        <v>3.1777777777777776</v>
      </c>
      <c r="N266" s="7">
        <v>5810</v>
      </c>
      <c r="O266" s="7" t="str">
        <f t="shared" si="18"/>
        <v>مارس</v>
      </c>
      <c r="P266" s="7" t="str">
        <f t="shared" si="19"/>
        <v>راتب عالي</v>
      </c>
    </row>
    <row r="267" spans="1:16" x14ac:dyDescent="0.3">
      <c r="A267" s="9">
        <v>52615</v>
      </c>
      <c r="B267" s="9" t="s">
        <v>567</v>
      </c>
      <c r="C267" s="9" t="s">
        <v>568</v>
      </c>
      <c r="D267" s="9" t="s">
        <v>24</v>
      </c>
      <c r="E267" s="9" t="s">
        <v>17</v>
      </c>
      <c r="F267" s="10">
        <v>37972</v>
      </c>
      <c r="G267" s="7">
        <f t="shared" ca="1" si="16"/>
        <v>22.388888888888889</v>
      </c>
      <c r="H267" s="9" t="s">
        <v>36</v>
      </c>
      <c r="I267" s="9" t="s">
        <v>25</v>
      </c>
      <c r="J267" s="9" t="s">
        <v>21</v>
      </c>
      <c r="K267" s="9" t="s">
        <v>21</v>
      </c>
      <c r="L267" s="10">
        <v>44989</v>
      </c>
      <c r="M267" s="9">
        <f t="shared" ca="1" si="17"/>
        <v>3.1749999999999998</v>
      </c>
      <c r="N267" s="9">
        <v>3630</v>
      </c>
      <c r="O267" s="9" t="str">
        <f t="shared" si="18"/>
        <v>مارس</v>
      </c>
      <c r="P267" s="7" t="str">
        <f t="shared" si="19"/>
        <v>راتب عالي</v>
      </c>
    </row>
    <row r="268" spans="1:16" x14ac:dyDescent="0.3">
      <c r="A268" s="7">
        <v>55566</v>
      </c>
      <c r="B268" s="7" t="s">
        <v>569</v>
      </c>
      <c r="C268" s="7" t="s">
        <v>570</v>
      </c>
      <c r="D268" s="7" t="s">
        <v>95</v>
      </c>
      <c r="E268" s="7" t="s">
        <v>17</v>
      </c>
      <c r="F268" s="8">
        <v>37694</v>
      </c>
      <c r="G268" s="7">
        <f t="shared" ca="1" si="16"/>
        <v>23.147222222222222</v>
      </c>
      <c r="H268" s="7" t="s">
        <v>36</v>
      </c>
      <c r="I268" s="7" t="s">
        <v>19</v>
      </c>
      <c r="J268" s="7" t="s">
        <v>20</v>
      </c>
      <c r="K268" s="7" t="s">
        <v>21</v>
      </c>
      <c r="L268" s="8">
        <v>44990</v>
      </c>
      <c r="M268" s="7">
        <f t="shared" ca="1" si="17"/>
        <v>3.1722222222222221</v>
      </c>
      <c r="N268" s="7">
        <v>22434</v>
      </c>
      <c r="O268" s="7" t="str">
        <f t="shared" si="18"/>
        <v>مارس</v>
      </c>
      <c r="P268" s="7" t="str">
        <f t="shared" si="19"/>
        <v>راتب طبيعي</v>
      </c>
    </row>
    <row r="269" spans="1:16" x14ac:dyDescent="0.3">
      <c r="A269" s="9">
        <v>50662</v>
      </c>
      <c r="B269" s="9" t="s">
        <v>571</v>
      </c>
      <c r="C269" s="9" t="s">
        <v>572</v>
      </c>
      <c r="D269" s="9" t="s">
        <v>16</v>
      </c>
      <c r="E269" s="9" t="s">
        <v>17</v>
      </c>
      <c r="F269" s="10">
        <v>37815</v>
      </c>
      <c r="G269" s="7">
        <f t="shared" ca="1" si="16"/>
        <v>22.816666666666666</v>
      </c>
      <c r="H269" s="9" t="s">
        <v>36</v>
      </c>
      <c r="I269" s="9" t="s">
        <v>25</v>
      </c>
      <c r="J269" s="9" t="s">
        <v>27</v>
      </c>
      <c r="K269" s="9" t="s">
        <v>21</v>
      </c>
      <c r="L269" s="10">
        <v>44991</v>
      </c>
      <c r="M269" s="9">
        <f t="shared" ca="1" si="17"/>
        <v>3.1694444444444443</v>
      </c>
      <c r="N269" s="9">
        <v>5959</v>
      </c>
      <c r="O269" s="9" t="str">
        <f t="shared" si="18"/>
        <v>مارس</v>
      </c>
      <c r="P269" s="7" t="str">
        <f t="shared" si="19"/>
        <v>راتب عالي</v>
      </c>
    </row>
    <row r="270" spans="1:16" x14ac:dyDescent="0.3">
      <c r="A270" s="7">
        <v>58284</v>
      </c>
      <c r="B270" s="7" t="s">
        <v>573</v>
      </c>
      <c r="C270" s="7" t="s">
        <v>574</v>
      </c>
      <c r="D270" s="7" t="s">
        <v>16</v>
      </c>
      <c r="E270" s="7" t="s">
        <v>17</v>
      </c>
      <c r="F270" s="8">
        <v>37944</v>
      </c>
      <c r="G270" s="7">
        <f t="shared" ca="1" si="16"/>
        <v>22.466666666666665</v>
      </c>
      <c r="H270" s="7" t="s">
        <v>36</v>
      </c>
      <c r="I270" s="7" t="s">
        <v>19</v>
      </c>
      <c r="J270" s="7" t="s">
        <v>31</v>
      </c>
      <c r="K270" s="7" t="s">
        <v>21</v>
      </c>
      <c r="L270" s="8">
        <v>44992</v>
      </c>
      <c r="M270" s="7">
        <f t="shared" ca="1" si="17"/>
        <v>3.1666666666666665</v>
      </c>
      <c r="N270" s="7">
        <v>29382</v>
      </c>
      <c r="O270" s="7" t="str">
        <f t="shared" si="18"/>
        <v>مارس</v>
      </c>
      <c r="P270" s="7" t="str">
        <f t="shared" si="19"/>
        <v>راتب طبيعي</v>
      </c>
    </row>
    <row r="271" spans="1:16" x14ac:dyDescent="0.3">
      <c r="A271" s="9">
        <v>57544</v>
      </c>
      <c r="B271" s="9" t="s">
        <v>575</v>
      </c>
      <c r="C271" s="9" t="s">
        <v>576</v>
      </c>
      <c r="D271" s="9" t="s">
        <v>40</v>
      </c>
      <c r="E271" s="9" t="s">
        <v>17</v>
      </c>
      <c r="F271" s="10">
        <v>37798</v>
      </c>
      <c r="G271" s="7">
        <f t="shared" ca="1" si="16"/>
        <v>22.863888888888887</v>
      </c>
      <c r="H271" s="9" t="s">
        <v>18</v>
      </c>
      <c r="I271" s="9" t="s">
        <v>46</v>
      </c>
      <c r="J271" s="9" t="s">
        <v>27</v>
      </c>
      <c r="K271" s="9" t="s">
        <v>21</v>
      </c>
      <c r="L271" s="10">
        <v>44993</v>
      </c>
      <c r="M271" s="9">
        <f t="shared" ca="1" si="17"/>
        <v>3.1638888888888888</v>
      </c>
      <c r="N271" s="9">
        <v>11735</v>
      </c>
      <c r="O271" s="9" t="str">
        <f t="shared" si="18"/>
        <v>مارس</v>
      </c>
      <c r="P271" s="7" t="str">
        <f t="shared" si="19"/>
        <v>راتب طبيعي</v>
      </c>
    </row>
    <row r="272" spans="1:16" x14ac:dyDescent="0.3">
      <c r="A272" s="7">
        <v>55273</v>
      </c>
      <c r="B272" s="7" t="s">
        <v>577</v>
      </c>
      <c r="C272" s="7" t="s">
        <v>578</v>
      </c>
      <c r="D272" s="7" t="s">
        <v>30</v>
      </c>
      <c r="E272" s="7" t="s">
        <v>17</v>
      </c>
      <c r="F272" s="8">
        <v>37890</v>
      </c>
      <c r="G272" s="7">
        <f t="shared" ca="1" si="16"/>
        <v>22.613888888888887</v>
      </c>
      <c r="H272" s="7" t="s">
        <v>18</v>
      </c>
      <c r="I272" s="7" t="s">
        <v>25</v>
      </c>
      <c r="J272" s="7" t="s">
        <v>20</v>
      </c>
      <c r="K272" s="7" t="s">
        <v>21</v>
      </c>
      <c r="L272" s="8">
        <v>44994</v>
      </c>
      <c r="M272" s="7">
        <f t="shared" ca="1" si="17"/>
        <v>3.161111111111111</v>
      </c>
      <c r="N272" s="7">
        <v>4318</v>
      </c>
      <c r="O272" s="7" t="str">
        <f t="shared" si="18"/>
        <v>مارس</v>
      </c>
      <c r="P272" s="7" t="str">
        <f t="shared" si="19"/>
        <v>راتب عالي</v>
      </c>
    </row>
    <row r="273" spans="1:16" x14ac:dyDescent="0.3">
      <c r="A273" s="9">
        <v>50361</v>
      </c>
      <c r="B273" s="9" t="s">
        <v>579</v>
      </c>
      <c r="C273" s="9" t="s">
        <v>580</v>
      </c>
      <c r="D273" s="9" t="s">
        <v>43</v>
      </c>
      <c r="E273" s="9" t="s">
        <v>17</v>
      </c>
      <c r="F273" s="10">
        <v>37949</v>
      </c>
      <c r="G273" s="7">
        <f t="shared" ca="1" si="16"/>
        <v>22.452777777777779</v>
      </c>
      <c r="H273" s="9" t="s">
        <v>36</v>
      </c>
      <c r="I273" s="9" t="s">
        <v>25</v>
      </c>
      <c r="J273" s="9" t="s">
        <v>20</v>
      </c>
      <c r="K273" s="9" t="s">
        <v>21</v>
      </c>
      <c r="L273" s="10">
        <v>44995</v>
      </c>
      <c r="M273" s="9">
        <f t="shared" ca="1" si="17"/>
        <v>3.1583333333333332</v>
      </c>
      <c r="N273" s="9">
        <v>3772</v>
      </c>
      <c r="O273" s="9" t="str">
        <f t="shared" si="18"/>
        <v>مارس</v>
      </c>
      <c r="P273" s="7" t="str">
        <f t="shared" si="19"/>
        <v>راتب عالي</v>
      </c>
    </row>
    <row r="274" spans="1:16" x14ac:dyDescent="0.3">
      <c r="A274" s="7">
        <v>59459</v>
      </c>
      <c r="B274" s="7" t="s">
        <v>581</v>
      </c>
      <c r="C274" s="7" t="s">
        <v>582</v>
      </c>
      <c r="D274" s="7" t="s">
        <v>66</v>
      </c>
      <c r="E274" s="7" t="s">
        <v>17</v>
      </c>
      <c r="F274" s="8">
        <v>35357</v>
      </c>
      <c r="G274" s="7">
        <f t="shared" ca="1" si="16"/>
        <v>29.55</v>
      </c>
      <c r="H274" s="7" t="s">
        <v>18</v>
      </c>
      <c r="I274" s="7" t="s">
        <v>25</v>
      </c>
      <c r="J274" s="7" t="s">
        <v>21</v>
      </c>
      <c r="K274" s="7" t="s">
        <v>21</v>
      </c>
      <c r="L274" s="8">
        <v>44996</v>
      </c>
      <c r="M274" s="7">
        <f t="shared" ca="1" si="17"/>
        <v>3.1555555555555554</v>
      </c>
      <c r="N274" s="7">
        <v>6233</v>
      </c>
      <c r="O274" s="7" t="str">
        <f t="shared" si="18"/>
        <v>مارس</v>
      </c>
      <c r="P274" s="7" t="str">
        <f t="shared" si="19"/>
        <v>راتب طبيعي</v>
      </c>
    </row>
    <row r="275" spans="1:16" x14ac:dyDescent="0.3">
      <c r="A275" s="9">
        <v>58729</v>
      </c>
      <c r="B275" s="9" t="s">
        <v>583</v>
      </c>
      <c r="C275" s="9" t="s">
        <v>584</v>
      </c>
      <c r="D275" s="9" t="s">
        <v>24</v>
      </c>
      <c r="E275" s="9" t="s">
        <v>17</v>
      </c>
      <c r="F275" s="10">
        <v>36278</v>
      </c>
      <c r="G275" s="7">
        <f t="shared" ca="1" si="16"/>
        <v>27.024999999999999</v>
      </c>
      <c r="H275" s="9" t="s">
        <v>18</v>
      </c>
      <c r="I275" s="9" t="s">
        <v>25</v>
      </c>
      <c r="J275" s="9" t="s">
        <v>31</v>
      </c>
      <c r="K275" s="9" t="s">
        <v>21</v>
      </c>
      <c r="L275" s="10">
        <v>44997</v>
      </c>
      <c r="M275" s="9">
        <f t="shared" ca="1" si="17"/>
        <v>3.1527777777777777</v>
      </c>
      <c r="N275" s="9">
        <v>4281</v>
      </c>
      <c r="O275" s="9" t="str">
        <f t="shared" si="18"/>
        <v>مارس</v>
      </c>
      <c r="P275" s="7" t="str">
        <f t="shared" si="19"/>
        <v>راتب عالي</v>
      </c>
    </row>
    <row r="276" spans="1:16" x14ac:dyDescent="0.3">
      <c r="A276" s="7">
        <v>54103</v>
      </c>
      <c r="B276" s="7" t="s">
        <v>585</v>
      </c>
      <c r="C276" s="7" t="s">
        <v>586</v>
      </c>
      <c r="D276" s="7" t="s">
        <v>43</v>
      </c>
      <c r="E276" s="7" t="s">
        <v>17</v>
      </c>
      <c r="F276" s="8">
        <v>34405</v>
      </c>
      <c r="G276" s="7">
        <f t="shared" ca="1" si="16"/>
        <v>32.152777777777779</v>
      </c>
      <c r="H276" s="7" t="s">
        <v>18</v>
      </c>
      <c r="I276" s="7" t="s">
        <v>19</v>
      </c>
      <c r="J276" s="7" t="s">
        <v>31</v>
      </c>
      <c r="K276" s="7" t="s">
        <v>21</v>
      </c>
      <c r="L276" s="8">
        <v>44998</v>
      </c>
      <c r="M276" s="7">
        <f t="shared" ca="1" si="17"/>
        <v>3.15</v>
      </c>
      <c r="N276" s="7">
        <v>20566</v>
      </c>
      <c r="O276" s="7" t="str">
        <f t="shared" si="18"/>
        <v>مارس</v>
      </c>
      <c r="P276" s="7" t="str">
        <f t="shared" si="19"/>
        <v>راتب طبيعي</v>
      </c>
    </row>
    <row r="277" spans="1:16" x14ac:dyDescent="0.3">
      <c r="A277" s="9">
        <v>52912</v>
      </c>
      <c r="B277" s="9" t="s">
        <v>587</v>
      </c>
      <c r="C277" s="9" t="s">
        <v>588</v>
      </c>
      <c r="D277" s="9" t="s">
        <v>53</v>
      </c>
      <c r="E277" s="9" t="s">
        <v>17</v>
      </c>
      <c r="F277" s="10">
        <v>34743</v>
      </c>
      <c r="G277" s="7">
        <f t="shared" ca="1" si="16"/>
        <v>31.233333333333334</v>
      </c>
      <c r="H277" s="9" t="s">
        <v>36</v>
      </c>
      <c r="I277" s="9" t="s">
        <v>46</v>
      </c>
      <c r="J277" s="9" t="s">
        <v>26</v>
      </c>
      <c r="K277" s="9" t="s">
        <v>21</v>
      </c>
      <c r="L277" s="10">
        <v>44999</v>
      </c>
      <c r="M277" s="9">
        <f t="shared" ca="1" si="17"/>
        <v>3.1472222222222221</v>
      </c>
      <c r="N277" s="9">
        <v>10463</v>
      </c>
      <c r="O277" s="9" t="str">
        <f t="shared" si="18"/>
        <v>مارس</v>
      </c>
      <c r="P277" s="7" t="str">
        <f t="shared" si="19"/>
        <v>راتب طبيعي</v>
      </c>
    </row>
    <row r="278" spans="1:16" x14ac:dyDescent="0.3">
      <c r="A278" s="7">
        <v>56583</v>
      </c>
      <c r="B278" s="7" t="s">
        <v>589</v>
      </c>
      <c r="C278" s="7" t="s">
        <v>590</v>
      </c>
      <c r="D278" s="7" t="s">
        <v>16</v>
      </c>
      <c r="E278" s="7" t="s">
        <v>17</v>
      </c>
      <c r="F278" s="8">
        <v>30411</v>
      </c>
      <c r="G278" s="7">
        <f t="shared" ca="1" si="16"/>
        <v>43.088888888888889</v>
      </c>
      <c r="H278" s="7" t="s">
        <v>36</v>
      </c>
      <c r="I278" s="7" t="s">
        <v>46</v>
      </c>
      <c r="J278" s="7" t="s">
        <v>31</v>
      </c>
      <c r="K278" s="7" t="s">
        <v>21</v>
      </c>
      <c r="L278" s="8">
        <v>45000</v>
      </c>
      <c r="M278" s="7">
        <f t="shared" ca="1" si="17"/>
        <v>3.1444444444444444</v>
      </c>
      <c r="N278" s="7">
        <v>10112</v>
      </c>
      <c r="O278" s="7" t="str">
        <f t="shared" si="18"/>
        <v>مارس</v>
      </c>
      <c r="P278" s="7" t="str">
        <f t="shared" si="19"/>
        <v>راتب طبيعي</v>
      </c>
    </row>
    <row r="279" spans="1:16" x14ac:dyDescent="0.3">
      <c r="A279" s="9">
        <v>51427</v>
      </c>
      <c r="B279" s="9" t="s">
        <v>591</v>
      </c>
      <c r="C279" s="9" t="s">
        <v>592</v>
      </c>
      <c r="D279" s="9" t="s">
        <v>34</v>
      </c>
      <c r="E279" s="9" t="s">
        <v>17</v>
      </c>
      <c r="F279" s="10">
        <v>35507</v>
      </c>
      <c r="G279" s="7">
        <f t="shared" ca="1" si="16"/>
        <v>29.136111111111113</v>
      </c>
      <c r="H279" s="9" t="s">
        <v>36</v>
      </c>
      <c r="I279" s="9" t="s">
        <v>19</v>
      </c>
      <c r="J279" s="9" t="s">
        <v>21</v>
      </c>
      <c r="K279" s="9" t="s">
        <v>21</v>
      </c>
      <c r="L279" s="10">
        <v>45001</v>
      </c>
      <c r="M279" s="9">
        <f t="shared" ca="1" si="17"/>
        <v>3.1416666666666666</v>
      </c>
      <c r="N279" s="9">
        <v>18151</v>
      </c>
      <c r="O279" s="9" t="str">
        <f t="shared" si="18"/>
        <v>مارس</v>
      </c>
      <c r="P279" s="7" t="str">
        <f t="shared" si="19"/>
        <v>راتب طبيعي</v>
      </c>
    </row>
    <row r="280" spans="1:16" x14ac:dyDescent="0.3">
      <c r="A280" s="7">
        <v>54757</v>
      </c>
      <c r="B280" s="7" t="s">
        <v>593</v>
      </c>
      <c r="C280" s="7" t="s">
        <v>594</v>
      </c>
      <c r="D280" s="7" t="s">
        <v>53</v>
      </c>
      <c r="E280" s="7" t="s">
        <v>17</v>
      </c>
      <c r="F280" s="8">
        <v>36385</v>
      </c>
      <c r="G280" s="7">
        <f t="shared" ca="1" si="16"/>
        <v>26.733333333333334</v>
      </c>
      <c r="H280" s="7" t="s">
        <v>36</v>
      </c>
      <c r="I280" s="7" t="s">
        <v>19</v>
      </c>
      <c r="J280" s="7" t="s">
        <v>26</v>
      </c>
      <c r="K280" s="7" t="s">
        <v>21</v>
      </c>
      <c r="L280" s="8">
        <v>45002</v>
      </c>
      <c r="M280" s="7">
        <f t="shared" ca="1" si="17"/>
        <v>3.1388888888888888</v>
      </c>
      <c r="N280" s="7">
        <v>26142</v>
      </c>
      <c r="O280" s="7" t="str">
        <f t="shared" si="18"/>
        <v>مارس</v>
      </c>
      <c r="P280" s="7" t="str">
        <f t="shared" si="19"/>
        <v>راتب طبيعي</v>
      </c>
    </row>
    <row r="281" spans="1:16" x14ac:dyDescent="0.3">
      <c r="A281" s="9">
        <v>51781</v>
      </c>
      <c r="B281" s="9" t="s">
        <v>595</v>
      </c>
      <c r="C281" s="9" t="s">
        <v>596</v>
      </c>
      <c r="D281" s="9" t="s">
        <v>24</v>
      </c>
      <c r="E281" s="9" t="s">
        <v>17</v>
      </c>
      <c r="F281" s="10">
        <v>37668</v>
      </c>
      <c r="G281" s="7">
        <f t="shared" ca="1" si="16"/>
        <v>23.225000000000001</v>
      </c>
      <c r="H281" s="9" t="s">
        <v>18</v>
      </c>
      <c r="I281" s="9" t="s">
        <v>25</v>
      </c>
      <c r="J281" s="9" t="s">
        <v>21</v>
      </c>
      <c r="K281" s="9" t="s">
        <v>21</v>
      </c>
      <c r="L281" s="10">
        <v>45003</v>
      </c>
      <c r="M281" s="9">
        <f t="shared" ca="1" si="17"/>
        <v>3.1361111111111111</v>
      </c>
      <c r="N281" s="9">
        <v>3800</v>
      </c>
      <c r="O281" s="9" t="str">
        <f t="shared" si="18"/>
        <v>مارس</v>
      </c>
      <c r="P281" s="7" t="str">
        <f t="shared" si="19"/>
        <v>راتب عالي</v>
      </c>
    </row>
    <row r="282" spans="1:16" x14ac:dyDescent="0.3">
      <c r="A282" s="7">
        <v>59869</v>
      </c>
      <c r="B282" s="7" t="s">
        <v>597</v>
      </c>
      <c r="C282" s="7" t="s">
        <v>598</v>
      </c>
      <c r="D282" s="7" t="s">
        <v>95</v>
      </c>
      <c r="E282" s="7" t="s">
        <v>17</v>
      </c>
      <c r="F282" s="8">
        <v>37121</v>
      </c>
      <c r="G282" s="7">
        <f t="shared" ca="1" si="16"/>
        <v>24.719444444444445</v>
      </c>
      <c r="H282" s="7" t="s">
        <v>36</v>
      </c>
      <c r="I282" s="7" t="s">
        <v>25</v>
      </c>
      <c r="J282" s="7" t="s">
        <v>31</v>
      </c>
      <c r="K282" s="7" t="s">
        <v>21</v>
      </c>
      <c r="L282" s="8">
        <v>45004</v>
      </c>
      <c r="M282" s="7">
        <f t="shared" ca="1" si="17"/>
        <v>3.1333333333333333</v>
      </c>
      <c r="N282" s="7">
        <v>5715</v>
      </c>
      <c r="O282" s="7" t="str">
        <f t="shared" si="18"/>
        <v>مارس</v>
      </c>
      <c r="P282" s="7" t="str">
        <f t="shared" si="19"/>
        <v>راتب عالي</v>
      </c>
    </row>
    <row r="283" spans="1:16" x14ac:dyDescent="0.3">
      <c r="A283" s="9">
        <v>54128</v>
      </c>
      <c r="B283" s="9" t="s">
        <v>599</v>
      </c>
      <c r="C283" s="9" t="s">
        <v>600</v>
      </c>
      <c r="D283" s="9" t="s">
        <v>95</v>
      </c>
      <c r="E283" s="9" t="s">
        <v>17</v>
      </c>
      <c r="F283" s="10">
        <v>29996</v>
      </c>
      <c r="G283" s="7">
        <f t="shared" ca="1" si="16"/>
        <v>44.230555555555554</v>
      </c>
      <c r="H283" s="9" t="s">
        <v>18</v>
      </c>
      <c r="I283" s="9" t="s">
        <v>25</v>
      </c>
      <c r="J283" s="9" t="s">
        <v>20</v>
      </c>
      <c r="K283" s="9" t="s">
        <v>21</v>
      </c>
      <c r="L283" s="10">
        <v>45005</v>
      </c>
      <c r="M283" s="9">
        <f t="shared" ca="1" si="17"/>
        <v>3.1305555555555555</v>
      </c>
      <c r="N283" s="9">
        <v>4014</v>
      </c>
      <c r="O283" s="9" t="str">
        <f t="shared" si="18"/>
        <v>مارس</v>
      </c>
      <c r="P283" s="7" t="str">
        <f t="shared" si="19"/>
        <v>راتب عالي</v>
      </c>
    </row>
    <row r="284" spans="1:16" x14ac:dyDescent="0.3">
      <c r="A284" s="7">
        <v>55736</v>
      </c>
      <c r="B284" s="7" t="s">
        <v>601</v>
      </c>
      <c r="C284" s="7" t="s">
        <v>602</v>
      </c>
      <c r="D284" s="7" t="s">
        <v>30</v>
      </c>
      <c r="E284" s="7" t="s">
        <v>17</v>
      </c>
      <c r="F284" s="8">
        <v>33983</v>
      </c>
      <c r="G284" s="7">
        <f t="shared" ca="1" si="16"/>
        <v>33.31388888888889</v>
      </c>
      <c r="H284" s="7" t="s">
        <v>18</v>
      </c>
      <c r="I284" s="7" t="s">
        <v>25</v>
      </c>
      <c r="J284" s="7" t="s">
        <v>26</v>
      </c>
      <c r="K284" s="7" t="s">
        <v>21</v>
      </c>
      <c r="L284" s="8">
        <v>45006</v>
      </c>
      <c r="M284" s="7">
        <f t="shared" ca="1" si="17"/>
        <v>3.1277777777777778</v>
      </c>
      <c r="N284" s="7">
        <v>3105</v>
      </c>
      <c r="O284" s="7" t="str">
        <f t="shared" si="18"/>
        <v>مارس</v>
      </c>
      <c r="P284" s="7" t="str">
        <f t="shared" si="19"/>
        <v>راتب عالي</v>
      </c>
    </row>
    <row r="285" spans="1:16" x14ac:dyDescent="0.3">
      <c r="A285" s="9">
        <v>59169</v>
      </c>
      <c r="B285" s="9" t="s">
        <v>603</v>
      </c>
      <c r="C285" s="9" t="s">
        <v>604</v>
      </c>
      <c r="D285" s="9" t="s">
        <v>53</v>
      </c>
      <c r="E285" s="9" t="s">
        <v>17</v>
      </c>
      <c r="F285" s="10">
        <v>32100</v>
      </c>
      <c r="G285" s="7">
        <f t="shared" ca="1" si="16"/>
        <v>38.466666666666669</v>
      </c>
      <c r="H285" s="9" t="s">
        <v>18</v>
      </c>
      <c r="I285" s="9" t="s">
        <v>25</v>
      </c>
      <c r="J285" s="9" t="s">
        <v>31</v>
      </c>
      <c r="K285" s="9" t="s">
        <v>21</v>
      </c>
      <c r="L285" s="10">
        <v>45007</v>
      </c>
      <c r="M285" s="9">
        <f t="shared" ca="1" si="17"/>
        <v>3.125</v>
      </c>
      <c r="N285" s="9">
        <v>3333</v>
      </c>
      <c r="O285" s="9" t="str">
        <f t="shared" si="18"/>
        <v>مارس</v>
      </c>
      <c r="P285" s="7" t="str">
        <f t="shared" si="19"/>
        <v>راتب عالي</v>
      </c>
    </row>
    <row r="286" spans="1:16" x14ac:dyDescent="0.3">
      <c r="A286" s="7">
        <v>58460</v>
      </c>
      <c r="B286" s="7" t="s">
        <v>605</v>
      </c>
      <c r="C286" s="7" t="s">
        <v>606</v>
      </c>
      <c r="D286" s="7" t="s">
        <v>30</v>
      </c>
      <c r="E286" s="7" t="s">
        <v>17</v>
      </c>
      <c r="F286" s="8">
        <v>37424</v>
      </c>
      <c r="G286" s="7">
        <f t="shared" ca="1" si="16"/>
        <v>23.888888888888889</v>
      </c>
      <c r="H286" s="7" t="s">
        <v>18</v>
      </c>
      <c r="I286" s="7" t="s">
        <v>25</v>
      </c>
      <c r="J286" s="7" t="s">
        <v>21</v>
      </c>
      <c r="K286" s="7" t="s">
        <v>21</v>
      </c>
      <c r="L286" s="8">
        <v>45008</v>
      </c>
      <c r="M286" s="7">
        <f t="shared" ca="1" si="17"/>
        <v>3.1222222222222222</v>
      </c>
      <c r="N286" s="7">
        <v>6985</v>
      </c>
      <c r="O286" s="7" t="str">
        <f t="shared" si="18"/>
        <v>مارس</v>
      </c>
      <c r="P286" s="7" t="str">
        <f t="shared" si="19"/>
        <v>راتب طبيعي</v>
      </c>
    </row>
    <row r="287" spans="1:16" x14ac:dyDescent="0.3">
      <c r="A287" s="9">
        <v>54102</v>
      </c>
      <c r="B287" s="9" t="s">
        <v>607</v>
      </c>
      <c r="C287" s="9" t="s">
        <v>608</v>
      </c>
      <c r="D287" s="9" t="s">
        <v>24</v>
      </c>
      <c r="E287" s="9" t="s">
        <v>17</v>
      </c>
      <c r="F287" s="10">
        <v>33052</v>
      </c>
      <c r="G287" s="7">
        <f t="shared" ca="1" si="16"/>
        <v>35.858333333333334</v>
      </c>
      <c r="H287" s="9" t="s">
        <v>18</v>
      </c>
      <c r="I287" s="9" t="s">
        <v>25</v>
      </c>
      <c r="J287" s="9" t="s">
        <v>26</v>
      </c>
      <c r="K287" s="9" t="s">
        <v>21</v>
      </c>
      <c r="L287" s="10">
        <v>45009</v>
      </c>
      <c r="M287" s="9">
        <f t="shared" ca="1" si="17"/>
        <v>3.1194444444444445</v>
      </c>
      <c r="N287" s="9">
        <v>3606</v>
      </c>
      <c r="O287" s="9" t="str">
        <f t="shared" si="18"/>
        <v>مارس</v>
      </c>
      <c r="P287" s="7" t="str">
        <f t="shared" si="19"/>
        <v>راتب عالي</v>
      </c>
    </row>
    <row r="288" spans="1:16" x14ac:dyDescent="0.3">
      <c r="A288" s="7">
        <v>54756</v>
      </c>
      <c r="B288" s="7" t="s">
        <v>609</v>
      </c>
      <c r="C288" s="7" t="s">
        <v>610</v>
      </c>
      <c r="D288" s="7" t="s">
        <v>24</v>
      </c>
      <c r="E288" s="7" t="s">
        <v>17</v>
      </c>
      <c r="F288" s="8">
        <v>32374</v>
      </c>
      <c r="G288" s="7">
        <f t="shared" ca="1" si="16"/>
        <v>37.716666666666669</v>
      </c>
      <c r="H288" s="7" t="s">
        <v>18</v>
      </c>
      <c r="I288" s="7" t="s">
        <v>25</v>
      </c>
      <c r="J288" s="7" t="s">
        <v>27</v>
      </c>
      <c r="K288" s="7" t="s">
        <v>21</v>
      </c>
      <c r="L288" s="8">
        <v>45010</v>
      </c>
      <c r="M288" s="7">
        <f t="shared" ca="1" si="17"/>
        <v>3.1166666666666667</v>
      </c>
      <c r="N288" s="7">
        <v>5184</v>
      </c>
      <c r="O288" s="7" t="str">
        <f t="shared" si="18"/>
        <v>مارس</v>
      </c>
      <c r="P288" s="7" t="str">
        <f t="shared" si="19"/>
        <v>راتب عالي</v>
      </c>
    </row>
    <row r="289" spans="1:16" x14ac:dyDescent="0.3">
      <c r="A289" s="9">
        <v>50945</v>
      </c>
      <c r="B289" s="9" t="s">
        <v>611</v>
      </c>
      <c r="C289" s="9" t="s">
        <v>612</v>
      </c>
      <c r="D289" s="9" t="s">
        <v>43</v>
      </c>
      <c r="E289" s="9" t="s">
        <v>17</v>
      </c>
      <c r="F289" s="10">
        <v>30364</v>
      </c>
      <c r="G289" s="7">
        <f t="shared" ca="1" si="16"/>
        <v>43.222222222222221</v>
      </c>
      <c r="H289" s="9" t="s">
        <v>36</v>
      </c>
      <c r="I289" s="9" t="s">
        <v>25</v>
      </c>
      <c r="J289" s="9" t="s">
        <v>31</v>
      </c>
      <c r="K289" s="9" t="s">
        <v>21</v>
      </c>
      <c r="L289" s="10">
        <v>45011</v>
      </c>
      <c r="M289" s="9">
        <f t="shared" ca="1" si="17"/>
        <v>3.1138888888888889</v>
      </c>
      <c r="N289" s="9">
        <v>4058</v>
      </c>
      <c r="O289" s="9" t="str">
        <f t="shared" si="18"/>
        <v>مارس</v>
      </c>
      <c r="P289" s="7" t="str">
        <f t="shared" si="19"/>
        <v>راتب عالي</v>
      </c>
    </row>
    <row r="290" spans="1:16" x14ac:dyDescent="0.3">
      <c r="A290" s="7">
        <v>58757</v>
      </c>
      <c r="B290" s="7" t="s">
        <v>613</v>
      </c>
      <c r="C290" s="7" t="s">
        <v>614</v>
      </c>
      <c r="D290" s="7" t="s">
        <v>40</v>
      </c>
      <c r="E290" s="7" t="s">
        <v>17</v>
      </c>
      <c r="F290" s="8">
        <v>35704</v>
      </c>
      <c r="G290" s="7">
        <f t="shared" ca="1" si="16"/>
        <v>28.6</v>
      </c>
      <c r="H290" s="7" t="s">
        <v>36</v>
      </c>
      <c r="I290" s="7" t="s">
        <v>25</v>
      </c>
      <c r="J290" s="7" t="s">
        <v>26</v>
      </c>
      <c r="K290" s="7" t="s">
        <v>21</v>
      </c>
      <c r="L290" s="8">
        <v>45012</v>
      </c>
      <c r="M290" s="7">
        <f t="shared" ca="1" si="17"/>
        <v>3.1111111111111112</v>
      </c>
      <c r="N290" s="7">
        <v>3498</v>
      </c>
      <c r="O290" s="7" t="str">
        <f t="shared" si="18"/>
        <v>مارس</v>
      </c>
      <c r="P290" s="7" t="str">
        <f t="shared" si="19"/>
        <v>راتب عالي</v>
      </c>
    </row>
    <row r="291" spans="1:16" x14ac:dyDescent="0.3">
      <c r="A291" s="9">
        <v>58376</v>
      </c>
      <c r="B291" s="9" t="s">
        <v>615</v>
      </c>
      <c r="C291" s="9" t="s">
        <v>616</v>
      </c>
      <c r="D291" s="9" t="s">
        <v>146</v>
      </c>
      <c r="E291" s="9" t="s">
        <v>17</v>
      </c>
      <c r="F291" s="10">
        <v>35837</v>
      </c>
      <c r="G291" s="7">
        <f t="shared" ca="1" si="16"/>
        <v>28.238888888888887</v>
      </c>
      <c r="H291" s="9" t="s">
        <v>36</v>
      </c>
      <c r="I291" s="9" t="s">
        <v>25</v>
      </c>
      <c r="J291" s="9" t="s">
        <v>31</v>
      </c>
      <c r="K291" s="9" t="s">
        <v>21</v>
      </c>
      <c r="L291" s="10">
        <v>45013</v>
      </c>
      <c r="M291" s="9">
        <f t="shared" ca="1" si="17"/>
        <v>3.1083333333333334</v>
      </c>
      <c r="N291" s="9">
        <v>5945</v>
      </c>
      <c r="O291" s="9" t="str">
        <f t="shared" si="18"/>
        <v>مارس</v>
      </c>
      <c r="P291" s="7" t="str">
        <f t="shared" si="19"/>
        <v>راتب عالي</v>
      </c>
    </row>
    <row r="292" spans="1:16" x14ac:dyDescent="0.3">
      <c r="A292" s="7">
        <v>56667</v>
      </c>
      <c r="B292" s="7" t="s">
        <v>617</v>
      </c>
      <c r="C292" s="7" t="s">
        <v>618</v>
      </c>
      <c r="D292" s="7" t="s">
        <v>30</v>
      </c>
      <c r="E292" s="7" t="s">
        <v>17</v>
      </c>
      <c r="F292" s="8">
        <v>32343</v>
      </c>
      <c r="G292" s="7">
        <f t="shared" ca="1" si="16"/>
        <v>37.799999999999997</v>
      </c>
      <c r="H292" s="7" t="s">
        <v>36</v>
      </c>
      <c r="I292" s="7" t="s">
        <v>25</v>
      </c>
      <c r="J292" s="7" t="s">
        <v>26</v>
      </c>
      <c r="K292" s="7" t="s">
        <v>21</v>
      </c>
      <c r="L292" s="8">
        <v>45014</v>
      </c>
      <c r="M292" s="7">
        <f t="shared" ca="1" si="17"/>
        <v>3.1055555555555556</v>
      </c>
      <c r="N292" s="7">
        <v>5405</v>
      </c>
      <c r="O292" s="7" t="str">
        <f t="shared" si="18"/>
        <v>مارس</v>
      </c>
      <c r="P292" s="7" t="str">
        <f t="shared" si="19"/>
        <v>راتب عالي</v>
      </c>
    </row>
    <row r="293" spans="1:16" x14ac:dyDescent="0.3">
      <c r="A293" s="9">
        <v>57034</v>
      </c>
      <c r="B293" s="9" t="s">
        <v>619</v>
      </c>
      <c r="C293" s="9" t="s">
        <v>620</v>
      </c>
      <c r="D293" s="9" t="s">
        <v>95</v>
      </c>
      <c r="E293" s="9" t="s">
        <v>17</v>
      </c>
      <c r="F293" s="10">
        <v>30145</v>
      </c>
      <c r="G293" s="7">
        <f t="shared" ca="1" si="16"/>
        <v>43.81666666666667</v>
      </c>
      <c r="H293" s="9" t="s">
        <v>36</v>
      </c>
      <c r="I293" s="9" t="s">
        <v>19</v>
      </c>
      <c r="J293" s="9" t="s">
        <v>21</v>
      </c>
      <c r="K293" s="9" t="s">
        <v>21</v>
      </c>
      <c r="L293" s="10">
        <v>45015</v>
      </c>
      <c r="M293" s="9">
        <f t="shared" ca="1" si="17"/>
        <v>3.1027777777777779</v>
      </c>
      <c r="N293" s="9">
        <v>18892</v>
      </c>
      <c r="O293" s="9" t="str">
        <f t="shared" si="18"/>
        <v>مارس</v>
      </c>
      <c r="P293" s="7" t="str">
        <f t="shared" si="19"/>
        <v>راتب طبيعي</v>
      </c>
    </row>
    <row r="294" spans="1:16" x14ac:dyDescent="0.3">
      <c r="A294" s="7">
        <v>52615</v>
      </c>
      <c r="B294" s="7" t="s">
        <v>621</v>
      </c>
      <c r="C294" s="7" t="s">
        <v>622</v>
      </c>
      <c r="D294" s="7" t="s">
        <v>95</v>
      </c>
      <c r="E294" s="7" t="s">
        <v>17</v>
      </c>
      <c r="F294" s="8">
        <v>32107</v>
      </c>
      <c r="G294" s="7">
        <f t="shared" ca="1" si="16"/>
        <v>38.447222222222223</v>
      </c>
      <c r="H294" s="7" t="s">
        <v>18</v>
      </c>
      <c r="I294" s="7" t="s">
        <v>46</v>
      </c>
      <c r="J294" s="7" t="s">
        <v>20</v>
      </c>
      <c r="K294" s="7" t="s">
        <v>21</v>
      </c>
      <c r="L294" s="8">
        <v>45016</v>
      </c>
      <c r="M294" s="7">
        <f t="shared" ca="1" si="17"/>
        <v>3.1027777777777779</v>
      </c>
      <c r="N294" s="7">
        <v>13112</v>
      </c>
      <c r="O294" s="7" t="str">
        <f t="shared" si="18"/>
        <v>مارس</v>
      </c>
      <c r="P294" s="7" t="str">
        <f t="shared" si="19"/>
        <v>راتب طبيعي</v>
      </c>
    </row>
    <row r="295" spans="1:16" x14ac:dyDescent="0.3">
      <c r="A295" s="9">
        <v>59445</v>
      </c>
      <c r="B295" s="9" t="s">
        <v>623</v>
      </c>
      <c r="C295" s="9" t="s">
        <v>624</v>
      </c>
      <c r="D295" s="9" t="s">
        <v>30</v>
      </c>
      <c r="E295" s="9" t="s">
        <v>17</v>
      </c>
      <c r="F295" s="10">
        <v>37750</v>
      </c>
      <c r="G295" s="7">
        <f t="shared" ca="1" si="16"/>
        <v>22.994444444444444</v>
      </c>
      <c r="H295" s="9" t="s">
        <v>18</v>
      </c>
      <c r="I295" s="9" t="s">
        <v>25</v>
      </c>
      <c r="J295" s="9" t="s">
        <v>27</v>
      </c>
      <c r="K295" s="9" t="s">
        <v>21</v>
      </c>
      <c r="L295" s="10">
        <v>45017</v>
      </c>
      <c r="M295" s="9">
        <f t="shared" ca="1" si="17"/>
        <v>3.1</v>
      </c>
      <c r="N295" s="9">
        <v>4197</v>
      </c>
      <c r="O295" s="9" t="str">
        <f t="shared" si="18"/>
        <v>أبريل</v>
      </c>
      <c r="P295" s="7" t="str">
        <f t="shared" si="19"/>
        <v>راتب عالي</v>
      </c>
    </row>
    <row r="296" spans="1:16" x14ac:dyDescent="0.3">
      <c r="A296" s="7">
        <v>56956</v>
      </c>
      <c r="B296" s="7" t="s">
        <v>625</v>
      </c>
      <c r="C296" s="7" t="s">
        <v>626</v>
      </c>
      <c r="D296" s="7" t="s">
        <v>30</v>
      </c>
      <c r="E296" s="7" t="s">
        <v>17</v>
      </c>
      <c r="F296" s="8">
        <v>37870</v>
      </c>
      <c r="G296" s="7">
        <f t="shared" ca="1" si="16"/>
        <v>22.669444444444444</v>
      </c>
      <c r="H296" s="7" t="s">
        <v>36</v>
      </c>
      <c r="I296" s="7" t="s">
        <v>25</v>
      </c>
      <c r="J296" s="7" t="s">
        <v>21</v>
      </c>
      <c r="K296" s="7" t="s">
        <v>21</v>
      </c>
      <c r="L296" s="8">
        <v>45018</v>
      </c>
      <c r="M296" s="7">
        <f t="shared" ca="1" si="17"/>
        <v>3.0972222222222223</v>
      </c>
      <c r="N296" s="7">
        <v>6651</v>
      </c>
      <c r="O296" s="7" t="str">
        <f t="shared" si="18"/>
        <v>أبريل</v>
      </c>
      <c r="P296" s="7" t="str">
        <f t="shared" si="19"/>
        <v>راتب طبيعي</v>
      </c>
    </row>
    <row r="297" spans="1:16" x14ac:dyDescent="0.3">
      <c r="A297" s="9">
        <v>53181</v>
      </c>
      <c r="B297" s="9" t="s">
        <v>627</v>
      </c>
      <c r="C297" s="9" t="s">
        <v>628</v>
      </c>
      <c r="D297" s="9" t="s">
        <v>146</v>
      </c>
      <c r="E297" s="9" t="s">
        <v>17</v>
      </c>
      <c r="F297" s="10">
        <v>37887</v>
      </c>
      <c r="G297" s="7">
        <f t="shared" ca="1" si="16"/>
        <v>22.622222222222224</v>
      </c>
      <c r="H297" s="9" t="s">
        <v>18</v>
      </c>
      <c r="I297" s="9" t="s">
        <v>25</v>
      </c>
      <c r="J297" s="9" t="s">
        <v>20</v>
      </c>
      <c r="K297" s="9" t="s">
        <v>21</v>
      </c>
      <c r="L297" s="10">
        <v>45019</v>
      </c>
      <c r="M297" s="9">
        <f t="shared" ca="1" si="17"/>
        <v>3.0944444444444446</v>
      </c>
      <c r="N297" s="9">
        <v>5763</v>
      </c>
      <c r="O297" s="9" t="str">
        <f t="shared" si="18"/>
        <v>أبريل</v>
      </c>
      <c r="P297" s="7" t="str">
        <f t="shared" si="19"/>
        <v>راتب عالي</v>
      </c>
    </row>
    <row r="298" spans="1:16" x14ac:dyDescent="0.3">
      <c r="A298" s="7">
        <v>56268</v>
      </c>
      <c r="B298" s="7" t="s">
        <v>629</v>
      </c>
      <c r="C298" s="7" t="s">
        <v>630</v>
      </c>
      <c r="D298" s="7" t="s">
        <v>24</v>
      </c>
      <c r="E298" s="7" t="s">
        <v>17</v>
      </c>
      <c r="F298" s="8">
        <v>37938</v>
      </c>
      <c r="G298" s="7">
        <f t="shared" ca="1" si="16"/>
        <v>22.483333333333334</v>
      </c>
      <c r="H298" s="7" t="s">
        <v>36</v>
      </c>
      <c r="I298" s="7" t="s">
        <v>25</v>
      </c>
      <c r="J298" s="7" t="s">
        <v>27</v>
      </c>
      <c r="K298" s="7" t="s">
        <v>21</v>
      </c>
      <c r="L298" s="8">
        <v>45020</v>
      </c>
      <c r="M298" s="7">
        <f t="shared" ca="1" si="17"/>
        <v>3.0916666666666668</v>
      </c>
      <c r="N298" s="7">
        <v>4079</v>
      </c>
      <c r="O298" s="7" t="str">
        <f t="shared" si="18"/>
        <v>أبريل</v>
      </c>
      <c r="P298" s="7" t="str">
        <f t="shared" si="19"/>
        <v>راتب عالي</v>
      </c>
    </row>
    <row r="299" spans="1:16" x14ac:dyDescent="0.3">
      <c r="A299" s="9">
        <v>53019</v>
      </c>
      <c r="B299" s="9" t="s">
        <v>631</v>
      </c>
      <c r="C299" s="9" t="s">
        <v>632</v>
      </c>
      <c r="D299" s="9" t="s">
        <v>40</v>
      </c>
      <c r="E299" s="9" t="s">
        <v>17</v>
      </c>
      <c r="F299" s="10">
        <v>37677</v>
      </c>
      <c r="G299" s="7">
        <f t="shared" ca="1" si="16"/>
        <v>23.2</v>
      </c>
      <c r="H299" s="9" t="s">
        <v>18</v>
      </c>
      <c r="I299" s="9" t="s">
        <v>19</v>
      </c>
      <c r="J299" s="9" t="s">
        <v>26</v>
      </c>
      <c r="K299" s="9" t="s">
        <v>21</v>
      </c>
      <c r="L299" s="10">
        <v>45021</v>
      </c>
      <c r="M299" s="9">
        <f t="shared" ca="1" si="17"/>
        <v>3.088888888888889</v>
      </c>
      <c r="N299" s="9">
        <v>17635</v>
      </c>
      <c r="O299" s="9" t="str">
        <f t="shared" si="18"/>
        <v>أبريل</v>
      </c>
      <c r="P299" s="7" t="str">
        <f t="shared" si="19"/>
        <v>راتب طبيعي</v>
      </c>
    </row>
    <row r="300" spans="1:16" x14ac:dyDescent="0.3">
      <c r="A300" s="7">
        <v>50881</v>
      </c>
      <c r="B300" s="7" t="s">
        <v>633</v>
      </c>
      <c r="C300" s="7" t="s">
        <v>634</v>
      </c>
      <c r="D300" s="7" t="s">
        <v>30</v>
      </c>
      <c r="E300" s="7" t="s">
        <v>17</v>
      </c>
      <c r="F300" s="8">
        <v>37761</v>
      </c>
      <c r="G300" s="7">
        <f t="shared" ca="1" si="16"/>
        <v>22.963888888888889</v>
      </c>
      <c r="H300" s="7" t="s">
        <v>18</v>
      </c>
      <c r="I300" s="7" t="s">
        <v>25</v>
      </c>
      <c r="J300" s="7" t="s">
        <v>31</v>
      </c>
      <c r="K300" s="7" t="s">
        <v>21</v>
      </c>
      <c r="L300" s="8">
        <v>45022</v>
      </c>
      <c r="M300" s="7">
        <f t="shared" ca="1" si="17"/>
        <v>3.0861111111111112</v>
      </c>
      <c r="N300" s="7">
        <v>3401</v>
      </c>
      <c r="O300" s="7" t="str">
        <f t="shared" si="18"/>
        <v>أبريل</v>
      </c>
      <c r="P300" s="7" t="str">
        <f t="shared" si="19"/>
        <v>راتب عالي</v>
      </c>
    </row>
    <row r="301" spans="1:16" x14ac:dyDescent="0.3">
      <c r="A301" s="9">
        <v>56586</v>
      </c>
      <c r="B301" s="9" t="s">
        <v>635</v>
      </c>
      <c r="C301" s="9" t="s">
        <v>636</v>
      </c>
      <c r="D301" s="9" t="s">
        <v>53</v>
      </c>
      <c r="E301" s="9" t="s">
        <v>17</v>
      </c>
      <c r="F301" s="10">
        <v>37648</v>
      </c>
      <c r="G301" s="7">
        <f t="shared" ca="1" si="16"/>
        <v>23.277777777777779</v>
      </c>
      <c r="H301" s="9" t="s">
        <v>36</v>
      </c>
      <c r="I301" s="9" t="s">
        <v>46</v>
      </c>
      <c r="J301" s="9" t="s">
        <v>27</v>
      </c>
      <c r="K301" s="9" t="s">
        <v>21</v>
      </c>
      <c r="L301" s="10">
        <v>45023</v>
      </c>
      <c r="M301" s="9">
        <f t="shared" ca="1" si="17"/>
        <v>3.0833333333333335</v>
      </c>
      <c r="N301" s="9">
        <v>13885</v>
      </c>
      <c r="O301" s="9" t="str">
        <f t="shared" si="18"/>
        <v>أبريل</v>
      </c>
      <c r="P301" s="7" t="str">
        <f t="shared" si="19"/>
        <v>راتب طبيعي</v>
      </c>
    </row>
    <row r="302" spans="1:16" x14ac:dyDescent="0.3">
      <c r="A302" s="7">
        <v>51556</v>
      </c>
      <c r="B302" s="7" t="s">
        <v>637</v>
      </c>
      <c r="C302" s="7" t="s">
        <v>638</v>
      </c>
      <c r="D302" s="7" t="s">
        <v>40</v>
      </c>
      <c r="E302" s="7" t="s">
        <v>17</v>
      </c>
      <c r="F302" s="8">
        <v>37783</v>
      </c>
      <c r="G302" s="7">
        <f t="shared" ca="1" si="16"/>
        <v>22.905555555555555</v>
      </c>
      <c r="H302" s="7" t="s">
        <v>36</v>
      </c>
      <c r="I302" s="7" t="s">
        <v>25</v>
      </c>
      <c r="J302" s="7" t="s">
        <v>21</v>
      </c>
      <c r="K302" s="7" t="s">
        <v>21</v>
      </c>
      <c r="L302" s="8">
        <v>45024</v>
      </c>
      <c r="M302" s="7">
        <f t="shared" ca="1" si="17"/>
        <v>3.0805555555555557</v>
      </c>
      <c r="N302" s="7">
        <v>4099</v>
      </c>
      <c r="O302" s="7" t="str">
        <f t="shared" si="18"/>
        <v>أبريل</v>
      </c>
      <c r="P302" s="7" t="str">
        <f t="shared" si="19"/>
        <v>راتب عالي</v>
      </c>
    </row>
    <row r="303" spans="1:16" x14ac:dyDescent="0.3">
      <c r="A303" s="9">
        <v>56284</v>
      </c>
      <c r="B303" s="9" t="s">
        <v>639</v>
      </c>
      <c r="C303" s="9" t="s">
        <v>640</v>
      </c>
      <c r="D303" s="9" t="s">
        <v>43</v>
      </c>
      <c r="E303" s="9" t="s">
        <v>17</v>
      </c>
      <c r="F303" s="10">
        <v>37903</v>
      </c>
      <c r="G303" s="7">
        <f t="shared" ca="1" si="16"/>
        <v>22.577777777777779</v>
      </c>
      <c r="H303" s="9" t="s">
        <v>36</v>
      </c>
      <c r="I303" s="9" t="s">
        <v>46</v>
      </c>
      <c r="J303" s="9" t="s">
        <v>20</v>
      </c>
      <c r="K303" s="9" t="s">
        <v>21</v>
      </c>
      <c r="L303" s="10">
        <v>45025</v>
      </c>
      <c r="M303" s="9">
        <f t="shared" ca="1" si="17"/>
        <v>3.0777777777777779</v>
      </c>
      <c r="N303" s="9">
        <v>12003</v>
      </c>
      <c r="O303" s="9" t="str">
        <f t="shared" si="18"/>
        <v>أبريل</v>
      </c>
      <c r="P303" s="7" t="str">
        <f t="shared" si="19"/>
        <v>راتب طبيعي</v>
      </c>
    </row>
    <row r="304" spans="1:16" x14ac:dyDescent="0.3">
      <c r="A304" s="7">
        <v>55902</v>
      </c>
      <c r="B304" s="7" t="s">
        <v>641</v>
      </c>
      <c r="C304" s="7" t="s">
        <v>642</v>
      </c>
      <c r="D304" s="7" t="s">
        <v>53</v>
      </c>
      <c r="E304" s="7" t="s">
        <v>17</v>
      </c>
      <c r="F304" s="8">
        <v>37671</v>
      </c>
      <c r="G304" s="7">
        <f t="shared" ca="1" si="16"/>
        <v>23.216666666666665</v>
      </c>
      <c r="H304" s="7" t="s">
        <v>36</v>
      </c>
      <c r="I304" s="7" t="s">
        <v>25</v>
      </c>
      <c r="J304" s="7" t="s">
        <v>21</v>
      </c>
      <c r="K304" s="7" t="s">
        <v>21</v>
      </c>
      <c r="L304" s="8">
        <v>45026</v>
      </c>
      <c r="M304" s="7">
        <f t="shared" ca="1" si="17"/>
        <v>3.0750000000000002</v>
      </c>
      <c r="N304" s="7">
        <v>3739</v>
      </c>
      <c r="O304" s="7" t="str">
        <f t="shared" si="18"/>
        <v>أبريل</v>
      </c>
      <c r="P304" s="7" t="str">
        <f t="shared" si="19"/>
        <v>راتب عالي</v>
      </c>
    </row>
    <row r="305" spans="1:16" x14ac:dyDescent="0.3">
      <c r="A305" s="9">
        <v>59643</v>
      </c>
      <c r="B305" s="9" t="s">
        <v>643</v>
      </c>
      <c r="C305" s="9" t="s">
        <v>644</v>
      </c>
      <c r="D305" s="9" t="s">
        <v>30</v>
      </c>
      <c r="E305" s="9" t="s">
        <v>17</v>
      </c>
      <c r="F305" s="10">
        <v>37746</v>
      </c>
      <c r="G305" s="7">
        <f t="shared" ca="1" si="16"/>
        <v>23.005555555555556</v>
      </c>
      <c r="H305" s="9" t="s">
        <v>18</v>
      </c>
      <c r="I305" s="9" t="s">
        <v>25</v>
      </c>
      <c r="J305" s="9" t="s">
        <v>21</v>
      </c>
      <c r="K305" s="9" t="s">
        <v>21</v>
      </c>
      <c r="L305" s="10">
        <v>45027</v>
      </c>
      <c r="M305" s="9">
        <f t="shared" ca="1" si="17"/>
        <v>3.0722222222222224</v>
      </c>
      <c r="N305" s="9">
        <v>5708</v>
      </c>
      <c r="O305" s="9" t="str">
        <f t="shared" si="18"/>
        <v>أبريل</v>
      </c>
      <c r="P305" s="7" t="str">
        <f t="shared" si="19"/>
        <v>راتب عالي</v>
      </c>
    </row>
    <row r="306" spans="1:16" x14ac:dyDescent="0.3">
      <c r="A306" s="7">
        <v>59811</v>
      </c>
      <c r="B306" s="7" t="s">
        <v>645</v>
      </c>
      <c r="C306" s="7" t="s">
        <v>646</v>
      </c>
      <c r="D306" s="7" t="s">
        <v>66</v>
      </c>
      <c r="E306" s="7" t="s">
        <v>17</v>
      </c>
      <c r="F306" s="8">
        <v>37827</v>
      </c>
      <c r="G306" s="7">
        <f t="shared" ca="1" si="16"/>
        <v>22.783333333333335</v>
      </c>
      <c r="H306" s="7" t="s">
        <v>18</v>
      </c>
      <c r="I306" s="7" t="s">
        <v>25</v>
      </c>
      <c r="J306" s="7" t="s">
        <v>31</v>
      </c>
      <c r="K306" s="7" t="s">
        <v>21</v>
      </c>
      <c r="L306" s="8">
        <v>45028</v>
      </c>
      <c r="M306" s="7">
        <f t="shared" ca="1" si="17"/>
        <v>3.0694444444444446</v>
      </c>
      <c r="N306" s="7">
        <v>3582</v>
      </c>
      <c r="O306" s="7" t="str">
        <f t="shared" si="18"/>
        <v>أبريل</v>
      </c>
      <c r="P306" s="7" t="str">
        <f t="shared" si="19"/>
        <v>راتب عالي</v>
      </c>
    </row>
    <row r="307" spans="1:16" x14ac:dyDescent="0.3">
      <c r="A307" s="9">
        <v>51599</v>
      </c>
      <c r="B307" s="9" t="s">
        <v>647</v>
      </c>
      <c r="C307" s="9" t="s">
        <v>648</v>
      </c>
      <c r="D307" s="9" t="s">
        <v>16</v>
      </c>
      <c r="E307" s="9" t="s">
        <v>17</v>
      </c>
      <c r="F307" s="10">
        <v>37855</v>
      </c>
      <c r="G307" s="7">
        <f t="shared" ca="1" si="16"/>
        <v>22.708333333333332</v>
      </c>
      <c r="H307" s="9" t="s">
        <v>18</v>
      </c>
      <c r="I307" s="9" t="s">
        <v>25</v>
      </c>
      <c r="J307" s="9" t="s">
        <v>31</v>
      </c>
      <c r="K307" s="9" t="s">
        <v>21</v>
      </c>
      <c r="L307" s="10">
        <v>45029</v>
      </c>
      <c r="M307" s="9">
        <f t="shared" ca="1" si="17"/>
        <v>3.0666666666666669</v>
      </c>
      <c r="N307" s="9">
        <v>6626</v>
      </c>
      <c r="O307" s="9" t="str">
        <f t="shared" si="18"/>
        <v>أبريل</v>
      </c>
      <c r="P307" s="7" t="str">
        <f t="shared" si="19"/>
        <v>راتب طبيعي</v>
      </c>
    </row>
    <row r="308" spans="1:16" x14ac:dyDescent="0.3">
      <c r="A308" s="7">
        <v>54528</v>
      </c>
      <c r="B308" s="7" t="s">
        <v>649</v>
      </c>
      <c r="C308" s="7" t="s">
        <v>650</v>
      </c>
      <c r="D308" s="7" t="s">
        <v>146</v>
      </c>
      <c r="E308" s="7" t="s">
        <v>17</v>
      </c>
      <c r="F308" s="8">
        <v>37824</v>
      </c>
      <c r="G308" s="7">
        <f t="shared" ca="1" si="16"/>
        <v>22.791666666666668</v>
      </c>
      <c r="H308" s="7" t="s">
        <v>36</v>
      </c>
      <c r="I308" s="7" t="s">
        <v>25</v>
      </c>
      <c r="J308" s="7" t="s">
        <v>20</v>
      </c>
      <c r="K308" s="7" t="s">
        <v>21</v>
      </c>
      <c r="L308" s="8">
        <v>45030</v>
      </c>
      <c r="M308" s="7">
        <f t="shared" ca="1" si="17"/>
        <v>3.0638888888888891</v>
      </c>
      <c r="N308" s="7">
        <v>4937</v>
      </c>
      <c r="O308" s="7" t="str">
        <f t="shared" si="18"/>
        <v>أبريل</v>
      </c>
      <c r="P308" s="7" t="str">
        <f t="shared" si="19"/>
        <v>راتب عالي</v>
      </c>
    </row>
    <row r="309" spans="1:16" x14ac:dyDescent="0.3">
      <c r="A309" s="9">
        <v>51330</v>
      </c>
      <c r="B309" s="9" t="s">
        <v>651</v>
      </c>
      <c r="C309" s="9" t="s">
        <v>652</v>
      </c>
      <c r="D309" s="9" t="s">
        <v>95</v>
      </c>
      <c r="E309" s="9" t="s">
        <v>17</v>
      </c>
      <c r="F309" s="10">
        <v>37907</v>
      </c>
      <c r="G309" s="7">
        <f t="shared" ca="1" si="16"/>
        <v>22.566666666666666</v>
      </c>
      <c r="H309" s="9" t="s">
        <v>36</v>
      </c>
      <c r="I309" s="9" t="s">
        <v>25</v>
      </c>
      <c r="J309" s="9" t="s">
        <v>26</v>
      </c>
      <c r="K309" s="9" t="s">
        <v>21</v>
      </c>
      <c r="L309" s="10">
        <v>45031</v>
      </c>
      <c r="M309" s="9">
        <f t="shared" ca="1" si="17"/>
        <v>3.0611111111111109</v>
      </c>
      <c r="N309" s="9">
        <v>4205</v>
      </c>
      <c r="O309" s="9" t="str">
        <f t="shared" si="18"/>
        <v>أبريل</v>
      </c>
      <c r="P309" s="7" t="str">
        <f t="shared" si="19"/>
        <v>راتب عالي</v>
      </c>
    </row>
    <row r="310" spans="1:16" x14ac:dyDescent="0.3">
      <c r="A310" s="7">
        <v>50149</v>
      </c>
      <c r="B310" s="7" t="s">
        <v>653</v>
      </c>
      <c r="C310" s="7" t="s">
        <v>654</v>
      </c>
      <c r="D310" s="7" t="s">
        <v>146</v>
      </c>
      <c r="E310" s="7" t="s">
        <v>17</v>
      </c>
      <c r="F310" s="8">
        <v>37968</v>
      </c>
      <c r="G310" s="7">
        <f t="shared" ca="1" si="16"/>
        <v>22.4</v>
      </c>
      <c r="H310" s="7" t="s">
        <v>36</v>
      </c>
      <c r="I310" s="7" t="s">
        <v>25</v>
      </c>
      <c r="J310" s="7" t="s">
        <v>31</v>
      </c>
      <c r="K310" s="7" t="s">
        <v>21</v>
      </c>
      <c r="L310" s="8">
        <v>45032</v>
      </c>
      <c r="M310" s="7">
        <f t="shared" ca="1" si="17"/>
        <v>3.0583333333333331</v>
      </c>
      <c r="N310" s="7">
        <v>4021</v>
      </c>
      <c r="O310" s="7" t="str">
        <f t="shared" si="18"/>
        <v>أبريل</v>
      </c>
      <c r="P310" s="7" t="str">
        <f t="shared" si="19"/>
        <v>راتب عالي</v>
      </c>
    </row>
    <row r="311" spans="1:16" x14ac:dyDescent="0.3">
      <c r="A311" s="9">
        <v>51994</v>
      </c>
      <c r="B311" s="9" t="s">
        <v>655</v>
      </c>
      <c r="C311" s="9" t="s">
        <v>656</v>
      </c>
      <c r="D311" s="9" t="s">
        <v>16</v>
      </c>
      <c r="E311" s="9" t="s">
        <v>17</v>
      </c>
      <c r="F311" s="10">
        <v>37754</v>
      </c>
      <c r="G311" s="7">
        <f t="shared" ca="1" si="16"/>
        <v>22.983333333333334</v>
      </c>
      <c r="H311" s="9" t="s">
        <v>36</v>
      </c>
      <c r="I311" s="9" t="s">
        <v>19</v>
      </c>
      <c r="J311" s="9" t="s">
        <v>21</v>
      </c>
      <c r="K311" s="9" t="s">
        <v>21</v>
      </c>
      <c r="L311" s="10">
        <v>45033</v>
      </c>
      <c r="M311" s="9">
        <f t="shared" ca="1" si="17"/>
        <v>3.0555555555555554</v>
      </c>
      <c r="N311" s="9">
        <v>25914</v>
      </c>
      <c r="O311" s="9" t="str">
        <f t="shared" si="18"/>
        <v>أبريل</v>
      </c>
      <c r="P311" s="7" t="str">
        <f t="shared" si="19"/>
        <v>راتب طبيعي</v>
      </c>
    </row>
    <row r="312" spans="1:16" x14ac:dyDescent="0.3">
      <c r="A312" s="7">
        <v>59791</v>
      </c>
      <c r="B312" s="7" t="s">
        <v>657</v>
      </c>
      <c r="C312" s="7" t="s">
        <v>658</v>
      </c>
      <c r="D312" s="7" t="s">
        <v>16</v>
      </c>
      <c r="E312" s="7" t="s">
        <v>17</v>
      </c>
      <c r="F312" s="8">
        <v>37816</v>
      </c>
      <c r="G312" s="7">
        <f t="shared" ca="1" si="16"/>
        <v>22.81388888888889</v>
      </c>
      <c r="H312" s="7" t="s">
        <v>36</v>
      </c>
      <c r="I312" s="7" t="s">
        <v>25</v>
      </c>
      <c r="J312" s="7" t="s">
        <v>27</v>
      </c>
      <c r="K312" s="7" t="s">
        <v>21</v>
      </c>
      <c r="L312" s="8">
        <v>45034</v>
      </c>
      <c r="M312" s="7">
        <f t="shared" ca="1" si="17"/>
        <v>3.0527777777777776</v>
      </c>
      <c r="N312" s="7">
        <v>4067</v>
      </c>
      <c r="O312" s="7" t="str">
        <f t="shared" si="18"/>
        <v>أبريل</v>
      </c>
      <c r="P312" s="7" t="str">
        <f t="shared" si="19"/>
        <v>راتب عالي</v>
      </c>
    </row>
    <row r="313" spans="1:16" x14ac:dyDescent="0.3">
      <c r="A313" s="9">
        <v>51732</v>
      </c>
      <c r="B313" s="9" t="s">
        <v>659</v>
      </c>
      <c r="C313" s="9" t="s">
        <v>660</v>
      </c>
      <c r="D313" s="9" t="s">
        <v>24</v>
      </c>
      <c r="E313" s="9" t="s">
        <v>17</v>
      </c>
      <c r="F313" s="10">
        <v>37714</v>
      </c>
      <c r="G313" s="7">
        <f t="shared" ca="1" si="16"/>
        <v>23.094444444444445</v>
      </c>
      <c r="H313" s="9" t="s">
        <v>18</v>
      </c>
      <c r="I313" s="9" t="s">
        <v>25</v>
      </c>
      <c r="J313" s="9" t="s">
        <v>31</v>
      </c>
      <c r="K313" s="9" t="s">
        <v>21</v>
      </c>
      <c r="L313" s="10">
        <v>45035</v>
      </c>
      <c r="M313" s="9">
        <f t="shared" ca="1" si="17"/>
        <v>3.05</v>
      </c>
      <c r="N313" s="9">
        <v>4343</v>
      </c>
      <c r="O313" s="9" t="str">
        <f t="shared" si="18"/>
        <v>أبريل</v>
      </c>
      <c r="P313" s="7" t="str">
        <f t="shared" si="19"/>
        <v>راتب عالي</v>
      </c>
    </row>
    <row r="314" spans="1:16" x14ac:dyDescent="0.3">
      <c r="A314" s="7">
        <v>54532</v>
      </c>
      <c r="B314" s="7" t="s">
        <v>661</v>
      </c>
      <c r="C314" s="7" t="s">
        <v>662</v>
      </c>
      <c r="D314" s="7" t="s">
        <v>95</v>
      </c>
      <c r="E314" s="7" t="s">
        <v>17</v>
      </c>
      <c r="F314" s="8">
        <v>37628</v>
      </c>
      <c r="G314" s="7">
        <f t="shared" ca="1" si="16"/>
        <v>23.333333333333332</v>
      </c>
      <c r="H314" s="7" t="s">
        <v>18</v>
      </c>
      <c r="I314" s="7" t="s">
        <v>25</v>
      </c>
      <c r="J314" s="7" t="s">
        <v>31</v>
      </c>
      <c r="K314" s="7" t="s">
        <v>21</v>
      </c>
      <c r="L314" s="8">
        <v>45036</v>
      </c>
      <c r="M314" s="7">
        <f t="shared" ca="1" si="17"/>
        <v>3.0472222222222221</v>
      </c>
      <c r="N314" s="7">
        <v>6023</v>
      </c>
      <c r="O314" s="7" t="str">
        <f t="shared" si="18"/>
        <v>أبريل</v>
      </c>
      <c r="P314" s="7" t="str">
        <f t="shared" si="19"/>
        <v>راتب طبيعي</v>
      </c>
    </row>
    <row r="315" spans="1:16" x14ac:dyDescent="0.3">
      <c r="A315" s="9">
        <v>57207</v>
      </c>
      <c r="B315" s="9" t="s">
        <v>663</v>
      </c>
      <c r="C315" s="9" t="s">
        <v>664</v>
      </c>
      <c r="D315" s="9" t="s">
        <v>66</v>
      </c>
      <c r="E315" s="9" t="s">
        <v>17</v>
      </c>
      <c r="F315" s="10">
        <v>37670</v>
      </c>
      <c r="G315" s="7">
        <f t="shared" ca="1" si="16"/>
        <v>23.219444444444445</v>
      </c>
      <c r="H315" s="9" t="s">
        <v>18</v>
      </c>
      <c r="I315" s="9" t="s">
        <v>25</v>
      </c>
      <c r="J315" s="9" t="s">
        <v>21</v>
      </c>
      <c r="K315" s="9" t="s">
        <v>21</v>
      </c>
      <c r="L315" s="10">
        <v>45037</v>
      </c>
      <c r="M315" s="9">
        <f t="shared" ca="1" si="17"/>
        <v>3.0444444444444443</v>
      </c>
      <c r="N315" s="9">
        <v>5826</v>
      </c>
      <c r="O315" s="9" t="str">
        <f t="shared" si="18"/>
        <v>أبريل</v>
      </c>
      <c r="P315" s="7" t="str">
        <f t="shared" si="19"/>
        <v>راتب عالي</v>
      </c>
    </row>
    <row r="316" spans="1:16" x14ac:dyDescent="0.3">
      <c r="A316" s="7">
        <v>52983</v>
      </c>
      <c r="B316" s="7" t="s">
        <v>665</v>
      </c>
      <c r="C316" s="7" t="s">
        <v>666</v>
      </c>
      <c r="D316" s="7" t="s">
        <v>66</v>
      </c>
      <c r="E316" s="7" t="s">
        <v>17</v>
      </c>
      <c r="F316" s="8">
        <v>37929</v>
      </c>
      <c r="G316" s="7">
        <f t="shared" ca="1" si="16"/>
        <v>22.508333333333333</v>
      </c>
      <c r="H316" s="7" t="s">
        <v>36</v>
      </c>
      <c r="I316" s="7" t="s">
        <v>25</v>
      </c>
      <c r="J316" s="7" t="s">
        <v>20</v>
      </c>
      <c r="K316" s="7" t="s">
        <v>21</v>
      </c>
      <c r="L316" s="8">
        <v>45038</v>
      </c>
      <c r="M316" s="7">
        <f t="shared" ca="1" si="17"/>
        <v>3.0416666666666665</v>
      </c>
      <c r="N316" s="7">
        <v>3913</v>
      </c>
      <c r="O316" s="7" t="str">
        <f t="shared" si="18"/>
        <v>أبريل</v>
      </c>
      <c r="P316" s="7" t="str">
        <f t="shared" si="19"/>
        <v>راتب عالي</v>
      </c>
    </row>
    <row r="317" spans="1:16" x14ac:dyDescent="0.3">
      <c r="A317" s="9">
        <v>59235</v>
      </c>
      <c r="B317" s="9" t="s">
        <v>667</v>
      </c>
      <c r="C317" s="9" t="s">
        <v>668</v>
      </c>
      <c r="D317" s="9" t="s">
        <v>40</v>
      </c>
      <c r="E317" s="9" t="s">
        <v>17</v>
      </c>
      <c r="F317" s="10">
        <v>37793</v>
      </c>
      <c r="G317" s="7">
        <f t="shared" ca="1" si="16"/>
        <v>22.877777777777776</v>
      </c>
      <c r="H317" s="9" t="s">
        <v>18</v>
      </c>
      <c r="I317" s="9" t="s">
        <v>25</v>
      </c>
      <c r="J317" s="9" t="s">
        <v>31</v>
      </c>
      <c r="K317" s="9" t="s">
        <v>21</v>
      </c>
      <c r="L317" s="10">
        <v>45039</v>
      </c>
      <c r="M317" s="9">
        <f t="shared" ca="1" si="17"/>
        <v>3.0388888888888888</v>
      </c>
      <c r="N317" s="9">
        <v>4929</v>
      </c>
      <c r="O317" s="9" t="str">
        <f t="shared" si="18"/>
        <v>أبريل</v>
      </c>
      <c r="P317" s="7" t="str">
        <f t="shared" si="19"/>
        <v>راتب عالي</v>
      </c>
    </row>
    <row r="318" spans="1:16" x14ac:dyDescent="0.3">
      <c r="A318" s="7">
        <v>59909</v>
      </c>
      <c r="B318" s="7" t="s">
        <v>669</v>
      </c>
      <c r="C318" s="7" t="s">
        <v>670</v>
      </c>
      <c r="D318" s="7" t="s">
        <v>146</v>
      </c>
      <c r="E318" s="7" t="s">
        <v>17</v>
      </c>
      <c r="F318" s="8">
        <v>37719</v>
      </c>
      <c r="G318" s="7">
        <f t="shared" ca="1" si="16"/>
        <v>23.080555555555556</v>
      </c>
      <c r="H318" s="7" t="s">
        <v>18</v>
      </c>
      <c r="I318" s="7" t="s">
        <v>19</v>
      </c>
      <c r="J318" s="7" t="s">
        <v>31</v>
      </c>
      <c r="K318" s="7" t="s">
        <v>21</v>
      </c>
      <c r="L318" s="8">
        <v>45040</v>
      </c>
      <c r="M318" s="7">
        <f t="shared" ca="1" si="17"/>
        <v>3.036111111111111</v>
      </c>
      <c r="N318" s="7">
        <v>29732</v>
      </c>
      <c r="O318" s="7" t="str">
        <f t="shared" si="18"/>
        <v>أبريل</v>
      </c>
      <c r="P318" s="7" t="str">
        <f t="shared" si="19"/>
        <v>راتب طبيعي</v>
      </c>
    </row>
    <row r="319" spans="1:16" x14ac:dyDescent="0.3">
      <c r="A319" s="9">
        <v>53498</v>
      </c>
      <c r="B319" s="9" t="s">
        <v>671</v>
      </c>
      <c r="C319" s="9" t="s">
        <v>672</v>
      </c>
      <c r="D319" s="9" t="s">
        <v>146</v>
      </c>
      <c r="E319" s="9" t="s">
        <v>17</v>
      </c>
      <c r="F319" s="10">
        <v>37961</v>
      </c>
      <c r="G319" s="7">
        <f t="shared" ca="1" si="16"/>
        <v>22.419444444444444</v>
      </c>
      <c r="H319" s="9" t="s">
        <v>18</v>
      </c>
      <c r="I319" s="9" t="s">
        <v>25</v>
      </c>
      <c r="J319" s="9" t="s">
        <v>20</v>
      </c>
      <c r="K319" s="9" t="s">
        <v>21</v>
      </c>
      <c r="L319" s="10">
        <v>45041</v>
      </c>
      <c r="M319" s="9">
        <f t="shared" ca="1" si="17"/>
        <v>3.0333333333333332</v>
      </c>
      <c r="N319" s="9">
        <v>5314</v>
      </c>
      <c r="O319" s="9" t="str">
        <f t="shared" si="18"/>
        <v>أبريل</v>
      </c>
      <c r="P319" s="7" t="str">
        <f t="shared" si="19"/>
        <v>راتب عالي</v>
      </c>
    </row>
    <row r="320" spans="1:16" x14ac:dyDescent="0.3">
      <c r="A320" s="7">
        <v>52665</v>
      </c>
      <c r="B320" s="7" t="s">
        <v>673</v>
      </c>
      <c r="C320" s="7" t="s">
        <v>674</v>
      </c>
      <c r="D320" s="7" t="s">
        <v>66</v>
      </c>
      <c r="E320" s="7" t="s">
        <v>17</v>
      </c>
      <c r="F320" s="8">
        <v>37797</v>
      </c>
      <c r="G320" s="7">
        <f t="shared" ca="1" si="16"/>
        <v>22.866666666666667</v>
      </c>
      <c r="H320" s="7" t="s">
        <v>18</v>
      </c>
      <c r="I320" s="7" t="s">
        <v>19</v>
      </c>
      <c r="J320" s="7" t="s">
        <v>26</v>
      </c>
      <c r="K320" s="7" t="s">
        <v>21</v>
      </c>
      <c r="L320" s="8">
        <v>45042</v>
      </c>
      <c r="M320" s="7">
        <f t="shared" ca="1" si="17"/>
        <v>3.0305555555555554</v>
      </c>
      <c r="N320" s="7">
        <v>15871</v>
      </c>
      <c r="O320" s="7" t="str">
        <f t="shared" si="18"/>
        <v>أبريل</v>
      </c>
      <c r="P320" s="7" t="str">
        <f t="shared" si="19"/>
        <v>راتب طبيعي</v>
      </c>
    </row>
    <row r="321" spans="1:16" x14ac:dyDescent="0.3">
      <c r="A321" s="9">
        <v>58935</v>
      </c>
      <c r="B321" s="9" t="s">
        <v>675</v>
      </c>
      <c r="C321" s="9" t="s">
        <v>676</v>
      </c>
      <c r="D321" s="9" t="s">
        <v>146</v>
      </c>
      <c r="E321" s="9" t="s">
        <v>17</v>
      </c>
      <c r="F321" s="10">
        <v>37888</v>
      </c>
      <c r="G321" s="7">
        <f t="shared" ca="1" si="16"/>
        <v>22.619444444444444</v>
      </c>
      <c r="H321" s="9" t="s">
        <v>18</v>
      </c>
      <c r="I321" s="9" t="s">
        <v>25</v>
      </c>
      <c r="J321" s="9" t="s">
        <v>31</v>
      </c>
      <c r="K321" s="9" t="s">
        <v>21</v>
      </c>
      <c r="L321" s="10">
        <v>45043</v>
      </c>
      <c r="M321" s="9">
        <f t="shared" ca="1" si="17"/>
        <v>3.0277777777777777</v>
      </c>
      <c r="N321" s="9">
        <v>3343</v>
      </c>
      <c r="O321" s="9" t="str">
        <f t="shared" si="18"/>
        <v>أبريل</v>
      </c>
      <c r="P321" s="7" t="str">
        <f t="shared" si="19"/>
        <v>راتب عالي</v>
      </c>
    </row>
    <row r="322" spans="1:16" x14ac:dyDescent="0.3">
      <c r="A322" s="7">
        <v>59198</v>
      </c>
      <c r="B322" s="7" t="s">
        <v>677</v>
      </c>
      <c r="C322" s="7" t="s">
        <v>678</v>
      </c>
      <c r="D322" s="7" t="s">
        <v>95</v>
      </c>
      <c r="E322" s="7" t="s">
        <v>17</v>
      </c>
      <c r="F322" s="8">
        <v>37751</v>
      </c>
      <c r="G322" s="7">
        <f t="shared" ca="1" si="16"/>
        <v>22.991666666666667</v>
      </c>
      <c r="H322" s="7" t="s">
        <v>36</v>
      </c>
      <c r="I322" s="7" t="s">
        <v>25</v>
      </c>
      <c r="J322" s="7" t="s">
        <v>31</v>
      </c>
      <c r="K322" s="7" t="s">
        <v>21</v>
      </c>
      <c r="L322" s="8">
        <v>45044</v>
      </c>
      <c r="M322" s="7">
        <f t="shared" ca="1" si="17"/>
        <v>3.0249999999999999</v>
      </c>
      <c r="N322" s="7">
        <v>4066</v>
      </c>
      <c r="O322" s="7" t="str">
        <f t="shared" si="18"/>
        <v>أبريل</v>
      </c>
      <c r="P322" s="7" t="str">
        <f t="shared" si="19"/>
        <v>راتب عالي</v>
      </c>
    </row>
    <row r="323" spans="1:16" x14ac:dyDescent="0.3">
      <c r="A323" s="9">
        <v>53785</v>
      </c>
      <c r="B323" s="9" t="s">
        <v>679</v>
      </c>
      <c r="C323" s="9" t="s">
        <v>680</v>
      </c>
      <c r="D323" s="9" t="s">
        <v>43</v>
      </c>
      <c r="E323" s="9" t="s">
        <v>17</v>
      </c>
      <c r="F323" s="10">
        <v>37643</v>
      </c>
      <c r="G323" s="7">
        <f t="shared" ref="G323:G386" ca="1" si="20">YEARFRAC(F323,TODAY())</f>
        <v>23.291666666666668</v>
      </c>
      <c r="H323" s="9" t="s">
        <v>18</v>
      </c>
      <c r="I323" s="9" t="s">
        <v>25</v>
      </c>
      <c r="J323" s="9" t="s">
        <v>21</v>
      </c>
      <c r="K323" s="9" t="s">
        <v>21</v>
      </c>
      <c r="L323" s="10">
        <v>45045</v>
      </c>
      <c r="M323" s="9">
        <f t="shared" ref="M323:M386" ca="1" si="21">YEARFRAC(L323,TODAY())</f>
        <v>3.0222222222222221</v>
      </c>
      <c r="N323" s="9">
        <v>4595</v>
      </c>
      <c r="O323" s="9" t="str">
        <f t="shared" ref="O323:O386" si="22">TEXT(L323,"mmm")</f>
        <v>أبريل</v>
      </c>
      <c r="P323" s="7" t="str">
        <f t="shared" ref="P323:P386" si="23">IF(N323&gt;=S$10,"راتب طبيعي","راتب عالي")</f>
        <v>راتب عالي</v>
      </c>
    </row>
    <row r="324" spans="1:16" x14ac:dyDescent="0.3">
      <c r="A324" s="7">
        <v>52210</v>
      </c>
      <c r="B324" s="7" t="s">
        <v>681</v>
      </c>
      <c r="C324" s="7" t="s">
        <v>682</v>
      </c>
      <c r="D324" s="7" t="s">
        <v>146</v>
      </c>
      <c r="E324" s="7" t="s">
        <v>17</v>
      </c>
      <c r="F324" s="8">
        <v>37757</v>
      </c>
      <c r="G324" s="7">
        <f t="shared" ca="1" si="20"/>
        <v>22.975000000000001</v>
      </c>
      <c r="H324" s="7" t="s">
        <v>36</v>
      </c>
      <c r="I324" s="7" t="s">
        <v>19</v>
      </c>
      <c r="J324" s="7" t="s">
        <v>20</v>
      </c>
      <c r="K324" s="7" t="s">
        <v>21</v>
      </c>
      <c r="L324" s="8">
        <v>45046</v>
      </c>
      <c r="M324" s="7">
        <f t="shared" ca="1" si="21"/>
        <v>3.0194444444444444</v>
      </c>
      <c r="N324" s="7">
        <v>24651</v>
      </c>
      <c r="O324" s="7" t="str">
        <f t="shared" si="22"/>
        <v>أبريل</v>
      </c>
      <c r="P324" s="7" t="str">
        <f t="shared" si="23"/>
        <v>راتب طبيعي</v>
      </c>
    </row>
    <row r="325" spans="1:16" x14ac:dyDescent="0.3">
      <c r="A325" s="9">
        <v>58453</v>
      </c>
      <c r="B325" s="9" t="s">
        <v>683</v>
      </c>
      <c r="C325" s="9" t="s">
        <v>684</v>
      </c>
      <c r="D325" s="9" t="s">
        <v>95</v>
      </c>
      <c r="E325" s="9" t="s">
        <v>17</v>
      </c>
      <c r="F325" s="10">
        <v>37854</v>
      </c>
      <c r="G325" s="7">
        <f t="shared" ca="1" si="20"/>
        <v>22.711111111111112</v>
      </c>
      <c r="H325" s="9" t="s">
        <v>36</v>
      </c>
      <c r="I325" s="9" t="s">
        <v>25</v>
      </c>
      <c r="J325" s="9" t="s">
        <v>20</v>
      </c>
      <c r="K325" s="9" t="s">
        <v>21</v>
      </c>
      <c r="L325" s="10">
        <v>45047</v>
      </c>
      <c r="M325" s="9">
        <f t="shared" ca="1" si="21"/>
        <v>3.0166666666666666</v>
      </c>
      <c r="N325" s="9">
        <v>6082</v>
      </c>
      <c r="O325" s="9" t="str">
        <f t="shared" si="22"/>
        <v>مايو</v>
      </c>
      <c r="P325" s="7" t="str">
        <f t="shared" si="23"/>
        <v>راتب طبيعي</v>
      </c>
    </row>
    <row r="326" spans="1:16" x14ac:dyDescent="0.3">
      <c r="A326" s="7">
        <v>56941</v>
      </c>
      <c r="B326" s="7" t="s">
        <v>685</v>
      </c>
      <c r="C326" s="7" t="s">
        <v>686</v>
      </c>
      <c r="D326" s="7" t="s">
        <v>53</v>
      </c>
      <c r="E326" s="7" t="s">
        <v>17</v>
      </c>
      <c r="F326" s="8">
        <v>37967</v>
      </c>
      <c r="G326" s="7">
        <f t="shared" ca="1" si="20"/>
        <v>22.402777777777779</v>
      </c>
      <c r="H326" s="7" t="s">
        <v>36</v>
      </c>
      <c r="I326" s="7" t="s">
        <v>25</v>
      </c>
      <c r="J326" s="7" t="s">
        <v>27</v>
      </c>
      <c r="K326" s="7" t="s">
        <v>21</v>
      </c>
      <c r="L326" s="8">
        <v>45048</v>
      </c>
      <c r="M326" s="7">
        <f t="shared" ca="1" si="21"/>
        <v>3.0138888888888888</v>
      </c>
      <c r="N326" s="7">
        <v>5130</v>
      </c>
      <c r="O326" s="7" t="str">
        <f t="shared" si="22"/>
        <v>مايو</v>
      </c>
      <c r="P326" s="7" t="str">
        <f t="shared" si="23"/>
        <v>راتب عالي</v>
      </c>
    </row>
    <row r="327" spans="1:16" x14ac:dyDescent="0.3">
      <c r="A327" s="9">
        <v>50320</v>
      </c>
      <c r="B327" s="9" t="s">
        <v>687</v>
      </c>
      <c r="C327" s="9" t="s">
        <v>688</v>
      </c>
      <c r="D327" s="9" t="s">
        <v>146</v>
      </c>
      <c r="E327" s="9" t="s">
        <v>17</v>
      </c>
      <c r="F327" s="10">
        <v>37856</v>
      </c>
      <c r="G327" s="7">
        <f t="shared" ca="1" si="20"/>
        <v>22.705555555555556</v>
      </c>
      <c r="H327" s="9" t="s">
        <v>36</v>
      </c>
      <c r="I327" s="9" t="s">
        <v>25</v>
      </c>
      <c r="J327" s="9" t="s">
        <v>21</v>
      </c>
      <c r="K327" s="9" t="s">
        <v>21</v>
      </c>
      <c r="L327" s="10">
        <v>45049</v>
      </c>
      <c r="M327" s="9">
        <f t="shared" ca="1" si="21"/>
        <v>3.0111111111111111</v>
      </c>
      <c r="N327" s="9">
        <v>5677</v>
      </c>
      <c r="O327" s="9" t="str">
        <f t="shared" si="22"/>
        <v>مايو</v>
      </c>
      <c r="P327" s="7" t="str">
        <f t="shared" si="23"/>
        <v>راتب عالي</v>
      </c>
    </row>
    <row r="328" spans="1:16" x14ac:dyDescent="0.3">
      <c r="A328" s="7">
        <v>57910</v>
      </c>
      <c r="B328" s="7" t="s">
        <v>689</v>
      </c>
      <c r="C328" s="7" t="s">
        <v>690</v>
      </c>
      <c r="D328" s="7" t="s">
        <v>16</v>
      </c>
      <c r="E328" s="7" t="s">
        <v>17</v>
      </c>
      <c r="F328" s="8">
        <v>37974</v>
      </c>
      <c r="G328" s="7">
        <f t="shared" ca="1" si="20"/>
        <v>22.383333333333333</v>
      </c>
      <c r="H328" s="7" t="s">
        <v>36</v>
      </c>
      <c r="I328" s="7" t="s">
        <v>19</v>
      </c>
      <c r="J328" s="7" t="s">
        <v>21</v>
      </c>
      <c r="K328" s="7" t="s">
        <v>21</v>
      </c>
      <c r="L328" s="8">
        <v>45050</v>
      </c>
      <c r="M328" s="7">
        <f t="shared" ca="1" si="21"/>
        <v>3.0083333333333333</v>
      </c>
      <c r="N328" s="7">
        <v>29002</v>
      </c>
      <c r="O328" s="7" t="str">
        <f t="shared" si="22"/>
        <v>مايو</v>
      </c>
      <c r="P328" s="7" t="str">
        <f t="shared" si="23"/>
        <v>راتب طبيعي</v>
      </c>
    </row>
    <row r="329" spans="1:16" x14ac:dyDescent="0.3">
      <c r="A329" s="9">
        <v>59400</v>
      </c>
      <c r="B329" s="9" t="s">
        <v>691</v>
      </c>
      <c r="C329" s="9" t="s">
        <v>692</v>
      </c>
      <c r="D329" s="9" t="s">
        <v>30</v>
      </c>
      <c r="E329" s="9" t="s">
        <v>17</v>
      </c>
      <c r="F329" s="10">
        <v>37632</v>
      </c>
      <c r="G329" s="7">
        <f t="shared" ca="1" si="20"/>
        <v>23.322222222222223</v>
      </c>
      <c r="H329" s="9" t="s">
        <v>18</v>
      </c>
      <c r="I329" s="9" t="s">
        <v>25</v>
      </c>
      <c r="J329" s="9" t="s">
        <v>26</v>
      </c>
      <c r="K329" s="9" t="s">
        <v>21</v>
      </c>
      <c r="L329" s="10">
        <v>45051</v>
      </c>
      <c r="M329" s="9">
        <f t="shared" ca="1" si="21"/>
        <v>3.0055555555555555</v>
      </c>
      <c r="N329" s="9">
        <v>5434</v>
      </c>
      <c r="O329" s="9" t="str">
        <f t="shared" si="22"/>
        <v>مايو</v>
      </c>
      <c r="P329" s="7" t="str">
        <f t="shared" si="23"/>
        <v>راتب عالي</v>
      </c>
    </row>
    <row r="330" spans="1:16" x14ac:dyDescent="0.3">
      <c r="A330" s="7">
        <v>52045</v>
      </c>
      <c r="B330" s="7" t="s">
        <v>693</v>
      </c>
      <c r="C330" s="7" t="s">
        <v>694</v>
      </c>
      <c r="D330" s="7" t="s">
        <v>53</v>
      </c>
      <c r="E330" s="7" t="s">
        <v>17</v>
      </c>
      <c r="F330" s="8">
        <v>37929</v>
      </c>
      <c r="G330" s="7">
        <f t="shared" ca="1" si="20"/>
        <v>22.508333333333333</v>
      </c>
      <c r="H330" s="7" t="s">
        <v>18</v>
      </c>
      <c r="I330" s="7" t="s">
        <v>19</v>
      </c>
      <c r="J330" s="7" t="s">
        <v>20</v>
      </c>
      <c r="K330" s="7" t="s">
        <v>21</v>
      </c>
      <c r="L330" s="8">
        <v>45052</v>
      </c>
      <c r="M330" s="7">
        <f t="shared" ca="1" si="21"/>
        <v>3.0027777777777778</v>
      </c>
      <c r="N330" s="7">
        <v>20915</v>
      </c>
      <c r="O330" s="7" t="str">
        <f t="shared" si="22"/>
        <v>مايو</v>
      </c>
      <c r="P330" s="7" t="str">
        <f t="shared" si="23"/>
        <v>راتب طبيعي</v>
      </c>
    </row>
    <row r="331" spans="1:16" x14ac:dyDescent="0.3">
      <c r="A331" s="9">
        <v>58557</v>
      </c>
      <c r="B331" s="9" t="s">
        <v>695</v>
      </c>
      <c r="C331" s="9" t="s">
        <v>696</v>
      </c>
      <c r="D331" s="9" t="s">
        <v>43</v>
      </c>
      <c r="E331" s="9" t="s">
        <v>17</v>
      </c>
      <c r="F331" s="10">
        <v>37944</v>
      </c>
      <c r="G331" s="7">
        <f t="shared" ca="1" si="20"/>
        <v>22.466666666666665</v>
      </c>
      <c r="H331" s="9" t="s">
        <v>36</v>
      </c>
      <c r="I331" s="9" t="s">
        <v>25</v>
      </c>
      <c r="J331" s="9" t="s">
        <v>20</v>
      </c>
      <c r="K331" s="9" t="s">
        <v>21</v>
      </c>
      <c r="L331" s="10">
        <v>45053</v>
      </c>
      <c r="M331" s="9">
        <f t="shared" ca="1" si="21"/>
        <v>3</v>
      </c>
      <c r="N331" s="9">
        <v>3204</v>
      </c>
      <c r="O331" s="9" t="str">
        <f t="shared" si="22"/>
        <v>مايو</v>
      </c>
      <c r="P331" s="7" t="str">
        <f t="shared" si="23"/>
        <v>راتب عالي</v>
      </c>
    </row>
    <row r="332" spans="1:16" x14ac:dyDescent="0.3">
      <c r="A332" s="7">
        <v>57703</v>
      </c>
      <c r="B332" s="7" t="s">
        <v>697</v>
      </c>
      <c r="C332" s="7" t="s">
        <v>698</v>
      </c>
      <c r="D332" s="7" t="s">
        <v>16</v>
      </c>
      <c r="E332" s="7" t="s">
        <v>17</v>
      </c>
      <c r="F332" s="8">
        <v>37719</v>
      </c>
      <c r="G332" s="7">
        <f t="shared" ca="1" si="20"/>
        <v>23.080555555555556</v>
      </c>
      <c r="H332" s="7" t="s">
        <v>18</v>
      </c>
      <c r="I332" s="7" t="s">
        <v>19</v>
      </c>
      <c r="J332" s="7" t="s">
        <v>20</v>
      </c>
      <c r="K332" s="7" t="s">
        <v>21</v>
      </c>
      <c r="L332" s="8">
        <v>45054</v>
      </c>
      <c r="M332" s="7">
        <f t="shared" ca="1" si="21"/>
        <v>2.9972222222222222</v>
      </c>
      <c r="N332" s="7">
        <v>22676</v>
      </c>
      <c r="O332" s="7" t="str">
        <f t="shared" si="22"/>
        <v>مايو</v>
      </c>
      <c r="P332" s="7" t="str">
        <f t="shared" si="23"/>
        <v>راتب طبيعي</v>
      </c>
    </row>
    <row r="333" spans="1:16" x14ac:dyDescent="0.3">
      <c r="A333" s="9">
        <v>54708</v>
      </c>
      <c r="B333" s="9" t="s">
        <v>699</v>
      </c>
      <c r="C333" s="9" t="s">
        <v>700</v>
      </c>
      <c r="D333" s="9" t="s">
        <v>95</v>
      </c>
      <c r="E333" s="9" t="s">
        <v>17</v>
      </c>
      <c r="F333" s="10">
        <v>37886</v>
      </c>
      <c r="G333" s="7">
        <f t="shared" ca="1" si="20"/>
        <v>22.625</v>
      </c>
      <c r="H333" s="9" t="s">
        <v>36</v>
      </c>
      <c r="I333" s="9" t="s">
        <v>25</v>
      </c>
      <c r="J333" s="9" t="s">
        <v>21</v>
      </c>
      <c r="K333" s="9" t="s">
        <v>21</v>
      </c>
      <c r="L333" s="10">
        <v>45055</v>
      </c>
      <c r="M333" s="9">
        <f t="shared" ca="1" si="21"/>
        <v>2.9944444444444445</v>
      </c>
      <c r="N333" s="9">
        <v>6073</v>
      </c>
      <c r="O333" s="9" t="str">
        <f t="shared" si="22"/>
        <v>مايو</v>
      </c>
      <c r="P333" s="7" t="str">
        <f t="shared" si="23"/>
        <v>راتب طبيعي</v>
      </c>
    </row>
    <row r="334" spans="1:16" x14ac:dyDescent="0.3">
      <c r="A334" s="7">
        <v>57373</v>
      </c>
      <c r="B334" s="7" t="s">
        <v>701</v>
      </c>
      <c r="C334" s="7" t="s">
        <v>702</v>
      </c>
      <c r="D334" s="7" t="s">
        <v>53</v>
      </c>
      <c r="E334" s="7" t="s">
        <v>17</v>
      </c>
      <c r="F334" s="8">
        <v>37916</v>
      </c>
      <c r="G334" s="7">
        <f t="shared" ca="1" si="20"/>
        <v>22.541666666666668</v>
      </c>
      <c r="H334" s="7" t="s">
        <v>18</v>
      </c>
      <c r="I334" s="7" t="s">
        <v>46</v>
      </c>
      <c r="J334" s="7" t="s">
        <v>27</v>
      </c>
      <c r="K334" s="7" t="s">
        <v>21</v>
      </c>
      <c r="L334" s="8">
        <v>45056</v>
      </c>
      <c r="M334" s="7">
        <f t="shared" ca="1" si="21"/>
        <v>2.9916666666666667</v>
      </c>
      <c r="N334" s="7">
        <v>10433</v>
      </c>
      <c r="O334" s="7" t="str">
        <f t="shared" si="22"/>
        <v>مايو</v>
      </c>
      <c r="P334" s="7" t="str">
        <f t="shared" si="23"/>
        <v>راتب طبيعي</v>
      </c>
    </row>
    <row r="335" spans="1:16" x14ac:dyDescent="0.3">
      <c r="A335" s="9">
        <v>53441</v>
      </c>
      <c r="B335" s="9" t="s">
        <v>703</v>
      </c>
      <c r="C335" s="9" t="s">
        <v>704</v>
      </c>
      <c r="D335" s="9" t="s">
        <v>34</v>
      </c>
      <c r="E335" s="9" t="s">
        <v>17</v>
      </c>
      <c r="F335" s="10">
        <v>37630</v>
      </c>
      <c r="G335" s="7">
        <f t="shared" ca="1" si="20"/>
        <v>23.327777777777779</v>
      </c>
      <c r="H335" s="9" t="s">
        <v>36</v>
      </c>
      <c r="I335" s="9" t="s">
        <v>25</v>
      </c>
      <c r="J335" s="9" t="s">
        <v>31</v>
      </c>
      <c r="K335" s="9" t="s">
        <v>21</v>
      </c>
      <c r="L335" s="10">
        <v>45057</v>
      </c>
      <c r="M335" s="9">
        <f t="shared" ca="1" si="21"/>
        <v>2.9888888888888889</v>
      </c>
      <c r="N335" s="9">
        <v>4894</v>
      </c>
      <c r="O335" s="9" t="str">
        <f t="shared" si="22"/>
        <v>مايو</v>
      </c>
      <c r="P335" s="7" t="str">
        <f t="shared" si="23"/>
        <v>راتب عالي</v>
      </c>
    </row>
    <row r="336" spans="1:16" x14ac:dyDescent="0.3">
      <c r="A336" s="7">
        <v>53571</v>
      </c>
      <c r="B336" s="7" t="s">
        <v>705</v>
      </c>
      <c r="C336" s="7" t="s">
        <v>706</v>
      </c>
      <c r="D336" s="7" t="s">
        <v>66</v>
      </c>
      <c r="E336" s="7" t="s">
        <v>17</v>
      </c>
      <c r="F336" s="8">
        <v>37969</v>
      </c>
      <c r="G336" s="7">
        <f t="shared" ca="1" si="20"/>
        <v>22.397222222222222</v>
      </c>
      <c r="H336" s="7" t="s">
        <v>18</v>
      </c>
      <c r="I336" s="7" t="s">
        <v>25</v>
      </c>
      <c r="J336" s="7" t="s">
        <v>31</v>
      </c>
      <c r="K336" s="7" t="s">
        <v>21</v>
      </c>
      <c r="L336" s="8">
        <v>45058</v>
      </c>
      <c r="M336" s="7">
        <f t="shared" ca="1" si="21"/>
        <v>2.9861111111111112</v>
      </c>
      <c r="N336" s="7">
        <v>3235</v>
      </c>
      <c r="O336" s="7" t="str">
        <f t="shared" si="22"/>
        <v>مايو</v>
      </c>
      <c r="P336" s="7" t="str">
        <f t="shared" si="23"/>
        <v>راتب عالي</v>
      </c>
    </row>
    <row r="337" spans="1:16" x14ac:dyDescent="0.3">
      <c r="A337" s="9">
        <v>52528</v>
      </c>
      <c r="B337" s="9" t="s">
        <v>707</v>
      </c>
      <c r="C337" s="9" t="s">
        <v>708</v>
      </c>
      <c r="D337" s="9" t="s">
        <v>146</v>
      </c>
      <c r="E337" s="9" t="s">
        <v>17</v>
      </c>
      <c r="F337" s="10">
        <v>37911</v>
      </c>
      <c r="G337" s="7">
        <f t="shared" ca="1" si="20"/>
        <v>22.555555555555557</v>
      </c>
      <c r="H337" s="9" t="s">
        <v>36</v>
      </c>
      <c r="I337" s="9" t="s">
        <v>25</v>
      </c>
      <c r="J337" s="9" t="s">
        <v>31</v>
      </c>
      <c r="K337" s="9" t="s">
        <v>21</v>
      </c>
      <c r="L337" s="10">
        <v>45059</v>
      </c>
      <c r="M337" s="9">
        <f t="shared" ca="1" si="21"/>
        <v>2.9833333333333334</v>
      </c>
      <c r="N337" s="9">
        <v>3480</v>
      </c>
      <c r="O337" s="9" t="str">
        <f t="shared" si="22"/>
        <v>مايو</v>
      </c>
      <c r="P337" s="7" t="str">
        <f t="shared" si="23"/>
        <v>راتب عالي</v>
      </c>
    </row>
    <row r="338" spans="1:16" x14ac:dyDescent="0.3">
      <c r="A338" s="7">
        <v>58679</v>
      </c>
      <c r="B338" s="7" t="s">
        <v>709</v>
      </c>
      <c r="C338" s="7" t="s">
        <v>710</v>
      </c>
      <c r="D338" s="7" t="s">
        <v>16</v>
      </c>
      <c r="E338" s="7" t="s">
        <v>17</v>
      </c>
      <c r="F338" s="8">
        <v>37918</v>
      </c>
      <c r="G338" s="7">
        <f t="shared" ca="1" si="20"/>
        <v>22.536111111111111</v>
      </c>
      <c r="H338" s="7" t="s">
        <v>18</v>
      </c>
      <c r="I338" s="7" t="s">
        <v>19</v>
      </c>
      <c r="J338" s="7" t="s">
        <v>31</v>
      </c>
      <c r="K338" s="7" t="s">
        <v>21</v>
      </c>
      <c r="L338" s="8">
        <v>45060</v>
      </c>
      <c r="M338" s="7">
        <f t="shared" ca="1" si="21"/>
        <v>2.9805555555555556</v>
      </c>
      <c r="N338" s="7">
        <v>23659</v>
      </c>
      <c r="O338" s="7" t="str">
        <f t="shared" si="22"/>
        <v>مايو</v>
      </c>
      <c r="P338" s="7" t="str">
        <f t="shared" si="23"/>
        <v>راتب طبيعي</v>
      </c>
    </row>
    <row r="339" spans="1:16" x14ac:dyDescent="0.3">
      <c r="A339" s="9">
        <v>59670</v>
      </c>
      <c r="B339" s="9" t="s">
        <v>711</v>
      </c>
      <c r="C339" s="9" t="s">
        <v>712</v>
      </c>
      <c r="D339" s="9" t="s">
        <v>40</v>
      </c>
      <c r="E339" s="9" t="s">
        <v>17</v>
      </c>
      <c r="F339" s="10">
        <v>37931</v>
      </c>
      <c r="G339" s="7">
        <f t="shared" ca="1" si="20"/>
        <v>22.502777777777776</v>
      </c>
      <c r="H339" s="9" t="s">
        <v>36</v>
      </c>
      <c r="I339" s="9" t="s">
        <v>19</v>
      </c>
      <c r="J339" s="9" t="s">
        <v>21</v>
      </c>
      <c r="K339" s="9" t="s">
        <v>21</v>
      </c>
      <c r="L339" s="10">
        <v>45061</v>
      </c>
      <c r="M339" s="9">
        <f t="shared" ca="1" si="21"/>
        <v>2.9777777777777779</v>
      </c>
      <c r="N339" s="9">
        <v>24334</v>
      </c>
      <c r="O339" s="9" t="str">
        <f t="shared" si="22"/>
        <v>مايو</v>
      </c>
      <c r="P339" s="7" t="str">
        <f t="shared" si="23"/>
        <v>راتب طبيعي</v>
      </c>
    </row>
    <row r="340" spans="1:16" x14ac:dyDescent="0.3">
      <c r="A340" s="7">
        <v>55974</v>
      </c>
      <c r="B340" s="7" t="s">
        <v>713</v>
      </c>
      <c r="C340" s="7" t="s">
        <v>714</v>
      </c>
      <c r="D340" s="7" t="s">
        <v>43</v>
      </c>
      <c r="E340" s="7" t="s">
        <v>17</v>
      </c>
      <c r="F340" s="8">
        <v>37686</v>
      </c>
      <c r="G340" s="7">
        <f t="shared" ca="1" si="20"/>
        <v>23.169444444444444</v>
      </c>
      <c r="H340" s="7" t="s">
        <v>36</v>
      </c>
      <c r="I340" s="7" t="s">
        <v>25</v>
      </c>
      <c r="J340" s="7" t="s">
        <v>21</v>
      </c>
      <c r="K340" s="7" t="s">
        <v>21</v>
      </c>
      <c r="L340" s="8">
        <v>45062</v>
      </c>
      <c r="M340" s="7">
        <f t="shared" ca="1" si="21"/>
        <v>2.9750000000000001</v>
      </c>
      <c r="N340" s="7">
        <v>3462</v>
      </c>
      <c r="O340" s="7" t="str">
        <f t="shared" si="22"/>
        <v>مايو</v>
      </c>
      <c r="P340" s="7" t="str">
        <f t="shared" si="23"/>
        <v>راتب عالي</v>
      </c>
    </row>
    <row r="341" spans="1:16" x14ac:dyDescent="0.3">
      <c r="A341" s="9">
        <v>57242</v>
      </c>
      <c r="B341" s="9" t="s">
        <v>715</v>
      </c>
      <c r="C341" s="9" t="s">
        <v>716</v>
      </c>
      <c r="D341" s="9" t="s">
        <v>53</v>
      </c>
      <c r="E341" s="9" t="s">
        <v>17</v>
      </c>
      <c r="F341" s="10">
        <v>30807</v>
      </c>
      <c r="G341" s="7">
        <f t="shared" ca="1" si="20"/>
        <v>42.005555555555553</v>
      </c>
      <c r="H341" s="9" t="s">
        <v>18</v>
      </c>
      <c r="I341" s="9" t="s">
        <v>25</v>
      </c>
      <c r="J341" s="9" t="s">
        <v>21</v>
      </c>
      <c r="K341" s="9" t="s">
        <v>21</v>
      </c>
      <c r="L341" s="10">
        <v>45063</v>
      </c>
      <c r="M341" s="9">
        <f t="shared" ca="1" si="21"/>
        <v>2.9722222222222223</v>
      </c>
      <c r="N341" s="9">
        <v>6193</v>
      </c>
      <c r="O341" s="9" t="str">
        <f t="shared" si="22"/>
        <v>مايو</v>
      </c>
      <c r="P341" s="7" t="str">
        <f t="shared" si="23"/>
        <v>راتب طبيعي</v>
      </c>
    </row>
    <row r="342" spans="1:16" x14ac:dyDescent="0.3">
      <c r="A342" s="7">
        <v>51438</v>
      </c>
      <c r="B342" s="7" t="s">
        <v>717</v>
      </c>
      <c r="C342" s="7" t="s">
        <v>718</v>
      </c>
      <c r="D342" s="7" t="s">
        <v>16</v>
      </c>
      <c r="E342" s="7" t="s">
        <v>17</v>
      </c>
      <c r="F342" s="8">
        <v>35455</v>
      </c>
      <c r="G342" s="7">
        <f t="shared" ca="1" si="20"/>
        <v>29.283333333333335</v>
      </c>
      <c r="H342" s="7" t="s">
        <v>18</v>
      </c>
      <c r="I342" s="7" t="s">
        <v>46</v>
      </c>
      <c r="J342" s="7" t="s">
        <v>27</v>
      </c>
      <c r="K342" s="7" t="s">
        <v>21</v>
      </c>
      <c r="L342" s="8">
        <v>45064</v>
      </c>
      <c r="M342" s="7">
        <f t="shared" ca="1" si="21"/>
        <v>2.9694444444444446</v>
      </c>
      <c r="N342" s="7">
        <v>10299</v>
      </c>
      <c r="O342" s="7" t="str">
        <f t="shared" si="22"/>
        <v>مايو</v>
      </c>
      <c r="P342" s="7" t="str">
        <f t="shared" si="23"/>
        <v>راتب طبيعي</v>
      </c>
    </row>
    <row r="343" spans="1:16" x14ac:dyDescent="0.3">
      <c r="A343" s="9">
        <v>52335</v>
      </c>
      <c r="B343" s="9" t="s">
        <v>719</v>
      </c>
      <c r="C343" s="9" t="s">
        <v>720</v>
      </c>
      <c r="D343" s="9" t="s">
        <v>66</v>
      </c>
      <c r="E343" s="9" t="s">
        <v>17</v>
      </c>
      <c r="F343" s="10">
        <v>37579</v>
      </c>
      <c r="G343" s="7">
        <f t="shared" ca="1" si="20"/>
        <v>23.466666666666665</v>
      </c>
      <c r="H343" s="9" t="s">
        <v>18</v>
      </c>
      <c r="I343" s="9" t="s">
        <v>25</v>
      </c>
      <c r="J343" s="9" t="s">
        <v>20</v>
      </c>
      <c r="K343" s="9" t="s">
        <v>21</v>
      </c>
      <c r="L343" s="10">
        <v>45065</v>
      </c>
      <c r="M343" s="9">
        <f t="shared" ca="1" si="21"/>
        <v>2.9666666666666668</v>
      </c>
      <c r="N343" s="9">
        <v>5640</v>
      </c>
      <c r="O343" s="9" t="str">
        <f t="shared" si="22"/>
        <v>مايو</v>
      </c>
      <c r="P343" s="7" t="str">
        <f t="shared" si="23"/>
        <v>راتب عالي</v>
      </c>
    </row>
    <row r="344" spans="1:16" x14ac:dyDescent="0.3">
      <c r="A344" s="7">
        <v>59564</v>
      </c>
      <c r="B344" s="7" t="s">
        <v>721</v>
      </c>
      <c r="C344" s="7" t="s">
        <v>722</v>
      </c>
      <c r="D344" s="7" t="s">
        <v>30</v>
      </c>
      <c r="E344" s="7" t="s">
        <v>17</v>
      </c>
      <c r="F344" s="8">
        <v>34324</v>
      </c>
      <c r="G344" s="7">
        <f t="shared" ca="1" si="20"/>
        <v>32.37777777777778</v>
      </c>
      <c r="H344" s="7" t="s">
        <v>36</v>
      </c>
      <c r="I344" s="7" t="s">
        <v>25</v>
      </c>
      <c r="J344" s="7" t="s">
        <v>26</v>
      </c>
      <c r="K344" s="7" t="s">
        <v>21</v>
      </c>
      <c r="L344" s="8">
        <v>45066</v>
      </c>
      <c r="M344" s="7">
        <f t="shared" ca="1" si="21"/>
        <v>2.963888888888889</v>
      </c>
      <c r="N344" s="7">
        <v>5021</v>
      </c>
      <c r="O344" s="7" t="str">
        <f t="shared" si="22"/>
        <v>مايو</v>
      </c>
      <c r="P344" s="7" t="str">
        <f t="shared" si="23"/>
        <v>راتب عالي</v>
      </c>
    </row>
    <row r="345" spans="1:16" x14ac:dyDescent="0.3">
      <c r="A345" s="9">
        <v>56113</v>
      </c>
      <c r="B345" s="9" t="s">
        <v>723</v>
      </c>
      <c r="C345" s="9" t="s">
        <v>724</v>
      </c>
      <c r="D345" s="9" t="s">
        <v>24</v>
      </c>
      <c r="E345" s="9" t="s">
        <v>17</v>
      </c>
      <c r="F345" s="10">
        <v>37203</v>
      </c>
      <c r="G345" s="7">
        <f t="shared" ca="1" si="20"/>
        <v>24.497222222222224</v>
      </c>
      <c r="H345" s="9" t="s">
        <v>18</v>
      </c>
      <c r="I345" s="9" t="s">
        <v>25</v>
      </c>
      <c r="J345" s="9" t="s">
        <v>27</v>
      </c>
      <c r="K345" s="9" t="s">
        <v>21</v>
      </c>
      <c r="L345" s="10">
        <v>45067</v>
      </c>
      <c r="M345" s="9">
        <f t="shared" ca="1" si="21"/>
        <v>2.9611111111111112</v>
      </c>
      <c r="N345" s="9">
        <v>5632</v>
      </c>
      <c r="O345" s="9" t="str">
        <f t="shared" si="22"/>
        <v>مايو</v>
      </c>
      <c r="P345" s="7" t="str">
        <f t="shared" si="23"/>
        <v>راتب عالي</v>
      </c>
    </row>
    <row r="346" spans="1:16" x14ac:dyDescent="0.3">
      <c r="A346" s="7">
        <v>56958</v>
      </c>
      <c r="B346" s="7" t="s">
        <v>725</v>
      </c>
      <c r="C346" s="7" t="s">
        <v>726</v>
      </c>
      <c r="D346" s="7" t="s">
        <v>40</v>
      </c>
      <c r="E346" s="7" t="s">
        <v>17</v>
      </c>
      <c r="F346" s="8">
        <v>35436</v>
      </c>
      <c r="G346" s="7">
        <f t="shared" ca="1" si="20"/>
        <v>29.336111111111112</v>
      </c>
      <c r="H346" s="7" t="s">
        <v>18</v>
      </c>
      <c r="I346" s="7" t="s">
        <v>25</v>
      </c>
      <c r="J346" s="7" t="s">
        <v>26</v>
      </c>
      <c r="K346" s="7" t="s">
        <v>21</v>
      </c>
      <c r="L346" s="8">
        <v>45068</v>
      </c>
      <c r="M346" s="7">
        <f t="shared" ca="1" si="21"/>
        <v>2.9583333333333335</v>
      </c>
      <c r="N346" s="7">
        <v>3152</v>
      </c>
      <c r="O346" s="7" t="str">
        <f t="shared" si="22"/>
        <v>مايو</v>
      </c>
      <c r="P346" s="7" t="str">
        <f t="shared" si="23"/>
        <v>راتب عالي</v>
      </c>
    </row>
    <row r="347" spans="1:16" x14ac:dyDescent="0.3">
      <c r="A347" s="9">
        <v>51431</v>
      </c>
      <c r="B347" s="9" t="s">
        <v>727</v>
      </c>
      <c r="C347" s="9" t="s">
        <v>728</v>
      </c>
      <c r="D347" s="9" t="s">
        <v>43</v>
      </c>
      <c r="E347" s="9" t="s">
        <v>17</v>
      </c>
      <c r="F347" s="10">
        <v>32655</v>
      </c>
      <c r="G347" s="7">
        <f t="shared" ca="1" si="20"/>
        <v>36.944444444444443</v>
      </c>
      <c r="H347" s="9" t="s">
        <v>18</v>
      </c>
      <c r="I347" s="9" t="s">
        <v>25</v>
      </c>
      <c r="J347" s="9" t="s">
        <v>27</v>
      </c>
      <c r="K347" s="9" t="s">
        <v>21</v>
      </c>
      <c r="L347" s="10">
        <v>45069</v>
      </c>
      <c r="M347" s="9">
        <f t="shared" ca="1" si="21"/>
        <v>2.9555555555555557</v>
      </c>
      <c r="N347" s="9">
        <v>4298</v>
      </c>
      <c r="O347" s="9" t="str">
        <f t="shared" si="22"/>
        <v>مايو</v>
      </c>
      <c r="P347" s="7" t="str">
        <f t="shared" si="23"/>
        <v>راتب عالي</v>
      </c>
    </row>
    <row r="348" spans="1:16" x14ac:dyDescent="0.3">
      <c r="A348" s="7">
        <v>54102</v>
      </c>
      <c r="B348" s="7" t="s">
        <v>729</v>
      </c>
      <c r="C348" s="7" t="s">
        <v>730</v>
      </c>
      <c r="D348" s="7" t="s">
        <v>146</v>
      </c>
      <c r="E348" s="7" t="s">
        <v>17</v>
      </c>
      <c r="F348" s="8">
        <v>32393</v>
      </c>
      <c r="G348" s="7">
        <f t="shared" ca="1" si="20"/>
        <v>37.666666666666664</v>
      </c>
      <c r="H348" s="7" t="s">
        <v>36</v>
      </c>
      <c r="I348" s="7" t="s">
        <v>25</v>
      </c>
      <c r="J348" s="7" t="s">
        <v>20</v>
      </c>
      <c r="K348" s="7" t="s">
        <v>21</v>
      </c>
      <c r="L348" s="8">
        <v>45070</v>
      </c>
      <c r="M348" s="7">
        <f t="shared" ca="1" si="21"/>
        <v>2.9527777777777779</v>
      </c>
      <c r="N348" s="7">
        <v>4392</v>
      </c>
      <c r="O348" s="7" t="str">
        <f t="shared" si="22"/>
        <v>مايو</v>
      </c>
      <c r="P348" s="7" t="str">
        <f t="shared" si="23"/>
        <v>راتب عالي</v>
      </c>
    </row>
    <row r="349" spans="1:16" x14ac:dyDescent="0.3">
      <c r="A349" s="9">
        <v>58349</v>
      </c>
      <c r="B349" s="9" t="s">
        <v>731</v>
      </c>
      <c r="C349" s="9" t="s">
        <v>732</v>
      </c>
      <c r="D349" s="9" t="s">
        <v>24</v>
      </c>
      <c r="E349" s="9" t="s">
        <v>17</v>
      </c>
      <c r="F349" s="10">
        <v>30495</v>
      </c>
      <c r="G349" s="7">
        <f t="shared" ca="1" si="20"/>
        <v>42.858333333333334</v>
      </c>
      <c r="H349" s="9" t="s">
        <v>18</v>
      </c>
      <c r="I349" s="9" t="s">
        <v>46</v>
      </c>
      <c r="J349" s="9" t="s">
        <v>27</v>
      </c>
      <c r="K349" s="9" t="s">
        <v>21</v>
      </c>
      <c r="L349" s="10">
        <v>45071</v>
      </c>
      <c r="M349" s="9">
        <f t="shared" ca="1" si="21"/>
        <v>2.95</v>
      </c>
      <c r="N349" s="9">
        <v>12122</v>
      </c>
      <c r="O349" s="9" t="str">
        <f t="shared" si="22"/>
        <v>مايو</v>
      </c>
      <c r="P349" s="7" t="str">
        <f t="shared" si="23"/>
        <v>راتب طبيعي</v>
      </c>
    </row>
    <row r="350" spans="1:16" x14ac:dyDescent="0.3">
      <c r="A350" s="7">
        <v>50770</v>
      </c>
      <c r="B350" s="7" t="s">
        <v>733</v>
      </c>
      <c r="C350" s="7" t="s">
        <v>734</v>
      </c>
      <c r="D350" s="7" t="s">
        <v>66</v>
      </c>
      <c r="E350" s="7" t="s">
        <v>17</v>
      </c>
      <c r="F350" s="8">
        <v>35234</v>
      </c>
      <c r="G350" s="7">
        <f t="shared" ca="1" si="20"/>
        <v>29.886111111111113</v>
      </c>
      <c r="H350" s="7" t="s">
        <v>36</v>
      </c>
      <c r="I350" s="7" t="s">
        <v>25</v>
      </c>
      <c r="J350" s="7" t="s">
        <v>31</v>
      </c>
      <c r="K350" s="7" t="s">
        <v>21</v>
      </c>
      <c r="L350" s="8">
        <v>45072</v>
      </c>
      <c r="M350" s="7">
        <f t="shared" ca="1" si="21"/>
        <v>2.9472222222222224</v>
      </c>
      <c r="N350" s="7">
        <v>3033</v>
      </c>
      <c r="O350" s="7" t="str">
        <f t="shared" si="22"/>
        <v>مايو</v>
      </c>
      <c r="P350" s="7" t="str">
        <f t="shared" si="23"/>
        <v>راتب عالي</v>
      </c>
    </row>
    <row r="351" spans="1:16" x14ac:dyDescent="0.3">
      <c r="A351" s="9">
        <v>52843</v>
      </c>
      <c r="B351" s="9" t="s">
        <v>735</v>
      </c>
      <c r="C351" s="9" t="s">
        <v>736</v>
      </c>
      <c r="D351" s="9" t="s">
        <v>30</v>
      </c>
      <c r="E351" s="9" t="s">
        <v>17</v>
      </c>
      <c r="F351" s="10">
        <v>35365</v>
      </c>
      <c r="G351" s="7">
        <f t="shared" ca="1" si="20"/>
        <v>29.527777777777779</v>
      </c>
      <c r="H351" s="9" t="s">
        <v>18</v>
      </c>
      <c r="I351" s="9" t="s">
        <v>19</v>
      </c>
      <c r="J351" s="9" t="s">
        <v>26</v>
      </c>
      <c r="K351" s="9" t="s">
        <v>21</v>
      </c>
      <c r="L351" s="10">
        <v>45073</v>
      </c>
      <c r="M351" s="9">
        <f t="shared" ca="1" si="21"/>
        <v>2.9444444444444446</v>
      </c>
      <c r="N351" s="9">
        <v>26143</v>
      </c>
      <c r="O351" s="9" t="str">
        <f t="shared" si="22"/>
        <v>مايو</v>
      </c>
      <c r="P351" s="7" t="str">
        <f t="shared" si="23"/>
        <v>راتب طبيعي</v>
      </c>
    </row>
    <row r="352" spans="1:16" x14ac:dyDescent="0.3">
      <c r="A352" s="7">
        <v>53547</v>
      </c>
      <c r="B352" s="7" t="s">
        <v>737</v>
      </c>
      <c r="C352" s="7" t="s">
        <v>738</v>
      </c>
      <c r="D352" s="7" t="s">
        <v>43</v>
      </c>
      <c r="E352" s="7" t="s">
        <v>17</v>
      </c>
      <c r="F352" s="8">
        <v>32230</v>
      </c>
      <c r="G352" s="7">
        <f t="shared" ca="1" si="20"/>
        <v>38.108333333333334</v>
      </c>
      <c r="H352" s="7" t="s">
        <v>18</v>
      </c>
      <c r="I352" s="7" t="s">
        <v>25</v>
      </c>
      <c r="J352" s="7" t="s">
        <v>20</v>
      </c>
      <c r="K352" s="7" t="s">
        <v>21</v>
      </c>
      <c r="L352" s="8">
        <v>45074</v>
      </c>
      <c r="M352" s="7">
        <f t="shared" ca="1" si="21"/>
        <v>2.9416666666666669</v>
      </c>
      <c r="N352" s="7">
        <v>4494</v>
      </c>
      <c r="O352" s="7" t="str">
        <f t="shared" si="22"/>
        <v>مايو</v>
      </c>
      <c r="P352" s="7" t="str">
        <f t="shared" si="23"/>
        <v>راتب عالي</v>
      </c>
    </row>
    <row r="353" spans="1:16" x14ac:dyDescent="0.3">
      <c r="A353" s="9">
        <v>51173</v>
      </c>
      <c r="B353" s="9" t="s">
        <v>739</v>
      </c>
      <c r="C353" s="9" t="s">
        <v>740</v>
      </c>
      <c r="D353" s="9" t="s">
        <v>146</v>
      </c>
      <c r="E353" s="9" t="s">
        <v>17</v>
      </c>
      <c r="F353" s="10">
        <v>37852</v>
      </c>
      <c r="G353" s="7">
        <f t="shared" ca="1" si="20"/>
        <v>22.716666666666665</v>
      </c>
      <c r="H353" s="9" t="s">
        <v>36</v>
      </c>
      <c r="I353" s="9" t="s">
        <v>19</v>
      </c>
      <c r="J353" s="9" t="s">
        <v>21</v>
      </c>
      <c r="K353" s="9" t="s">
        <v>21</v>
      </c>
      <c r="L353" s="10">
        <v>45075</v>
      </c>
      <c r="M353" s="9">
        <f t="shared" ca="1" si="21"/>
        <v>2.9388888888888891</v>
      </c>
      <c r="N353" s="9">
        <v>26961</v>
      </c>
      <c r="O353" s="9" t="str">
        <f t="shared" si="22"/>
        <v>مايو</v>
      </c>
      <c r="P353" s="7" t="str">
        <f t="shared" si="23"/>
        <v>راتب طبيعي</v>
      </c>
    </row>
    <row r="354" spans="1:16" x14ac:dyDescent="0.3">
      <c r="A354" s="7">
        <v>56745</v>
      </c>
      <c r="B354" s="7" t="s">
        <v>741</v>
      </c>
      <c r="C354" s="7" t="s">
        <v>742</v>
      </c>
      <c r="D354" s="7" t="s">
        <v>66</v>
      </c>
      <c r="E354" s="7" t="s">
        <v>17</v>
      </c>
      <c r="F354" s="8">
        <v>33000</v>
      </c>
      <c r="G354" s="7">
        <f t="shared" ca="1" si="20"/>
        <v>36</v>
      </c>
      <c r="H354" s="7" t="s">
        <v>18</v>
      </c>
      <c r="I354" s="7" t="s">
        <v>19</v>
      </c>
      <c r="J354" s="7" t="s">
        <v>21</v>
      </c>
      <c r="K354" s="7" t="s">
        <v>21</v>
      </c>
      <c r="L354" s="8">
        <v>45076</v>
      </c>
      <c r="M354" s="7">
        <f t="shared" ca="1" si="21"/>
        <v>2.9361111111111109</v>
      </c>
      <c r="N354" s="7">
        <v>23824</v>
      </c>
      <c r="O354" s="7" t="str">
        <f t="shared" si="22"/>
        <v>مايو</v>
      </c>
      <c r="P354" s="7" t="str">
        <f t="shared" si="23"/>
        <v>راتب طبيعي</v>
      </c>
    </row>
    <row r="355" spans="1:16" x14ac:dyDescent="0.3">
      <c r="A355" s="9">
        <v>54574</v>
      </c>
      <c r="B355" s="9" t="s">
        <v>743</v>
      </c>
      <c r="C355" s="9" t="s">
        <v>744</v>
      </c>
      <c r="D355" s="9" t="s">
        <v>40</v>
      </c>
      <c r="E355" s="9" t="s">
        <v>17</v>
      </c>
      <c r="F355" s="10">
        <v>31600</v>
      </c>
      <c r="G355" s="7">
        <f t="shared" ca="1" si="20"/>
        <v>39.833333333333336</v>
      </c>
      <c r="H355" s="9" t="s">
        <v>36</v>
      </c>
      <c r="I355" s="9" t="s">
        <v>25</v>
      </c>
      <c r="J355" s="9" t="s">
        <v>26</v>
      </c>
      <c r="K355" s="9" t="s">
        <v>21</v>
      </c>
      <c r="L355" s="10">
        <v>45077</v>
      </c>
      <c r="M355" s="9">
        <f t="shared" ca="1" si="21"/>
        <v>2.9361111111111109</v>
      </c>
      <c r="N355" s="9">
        <v>4547</v>
      </c>
      <c r="O355" s="9" t="str">
        <f t="shared" si="22"/>
        <v>مايو</v>
      </c>
      <c r="P355" s="7" t="str">
        <f t="shared" si="23"/>
        <v>راتب عالي</v>
      </c>
    </row>
    <row r="356" spans="1:16" x14ac:dyDescent="0.3">
      <c r="A356" s="7">
        <v>56664</v>
      </c>
      <c r="B356" s="7" t="s">
        <v>745</v>
      </c>
      <c r="C356" s="7" t="s">
        <v>746</v>
      </c>
      <c r="D356" s="7" t="s">
        <v>40</v>
      </c>
      <c r="E356" s="7" t="s">
        <v>17</v>
      </c>
      <c r="F356" s="8">
        <v>33586</v>
      </c>
      <c r="G356" s="7">
        <f t="shared" ca="1" si="20"/>
        <v>34.397222222222226</v>
      </c>
      <c r="H356" s="7" t="s">
        <v>18</v>
      </c>
      <c r="I356" s="7" t="s">
        <v>25</v>
      </c>
      <c r="J356" s="7" t="s">
        <v>21</v>
      </c>
      <c r="K356" s="7" t="s">
        <v>21</v>
      </c>
      <c r="L356" s="8">
        <v>45078</v>
      </c>
      <c r="M356" s="7">
        <f t="shared" ca="1" si="21"/>
        <v>2.9333333333333331</v>
      </c>
      <c r="N356" s="7">
        <v>6119</v>
      </c>
      <c r="O356" s="7" t="str">
        <f t="shared" si="22"/>
        <v>يونيو</v>
      </c>
      <c r="P356" s="7" t="str">
        <f t="shared" si="23"/>
        <v>راتب طبيعي</v>
      </c>
    </row>
    <row r="357" spans="1:16" x14ac:dyDescent="0.3">
      <c r="A357" s="9">
        <v>55063</v>
      </c>
      <c r="B357" s="9" t="s">
        <v>747</v>
      </c>
      <c r="C357" s="9" t="s">
        <v>748</v>
      </c>
      <c r="D357" s="9" t="s">
        <v>66</v>
      </c>
      <c r="E357" s="9" t="s">
        <v>17</v>
      </c>
      <c r="F357" s="10">
        <v>32500</v>
      </c>
      <c r="G357" s="7">
        <f t="shared" ca="1" si="20"/>
        <v>37.37222222222222</v>
      </c>
      <c r="H357" s="9" t="s">
        <v>18</v>
      </c>
      <c r="I357" s="9" t="s">
        <v>19</v>
      </c>
      <c r="J357" s="9" t="s">
        <v>21</v>
      </c>
      <c r="K357" s="9" t="s">
        <v>21</v>
      </c>
      <c r="L357" s="10">
        <v>45079</v>
      </c>
      <c r="M357" s="9">
        <f t="shared" ca="1" si="21"/>
        <v>2.9305555555555554</v>
      </c>
      <c r="N357" s="9">
        <v>29236</v>
      </c>
      <c r="O357" s="9" t="str">
        <f t="shared" si="22"/>
        <v>يونيو</v>
      </c>
      <c r="P357" s="7" t="str">
        <f t="shared" si="23"/>
        <v>راتب طبيعي</v>
      </c>
    </row>
    <row r="358" spans="1:16" x14ac:dyDescent="0.3">
      <c r="A358" s="7">
        <v>52420</v>
      </c>
      <c r="B358" s="7" t="s">
        <v>749</v>
      </c>
      <c r="C358" s="7" t="s">
        <v>750</v>
      </c>
      <c r="D358" s="7" t="s">
        <v>146</v>
      </c>
      <c r="E358" s="7" t="s">
        <v>17</v>
      </c>
      <c r="F358" s="8">
        <v>30677</v>
      </c>
      <c r="G358" s="7">
        <f t="shared" ca="1" si="20"/>
        <v>42.361111111111114</v>
      </c>
      <c r="H358" s="7" t="s">
        <v>18</v>
      </c>
      <c r="I358" s="7" t="s">
        <v>25</v>
      </c>
      <c r="J358" s="7" t="s">
        <v>20</v>
      </c>
      <c r="K358" s="7" t="s">
        <v>21</v>
      </c>
      <c r="L358" s="8">
        <v>45080</v>
      </c>
      <c r="M358" s="7">
        <f t="shared" ca="1" si="21"/>
        <v>2.9277777777777776</v>
      </c>
      <c r="N358" s="7">
        <v>6426</v>
      </c>
      <c r="O358" s="7" t="str">
        <f t="shared" si="22"/>
        <v>يونيو</v>
      </c>
      <c r="P358" s="7" t="str">
        <f t="shared" si="23"/>
        <v>راتب طبيعي</v>
      </c>
    </row>
    <row r="359" spans="1:16" x14ac:dyDescent="0.3">
      <c r="A359" s="9">
        <v>59580</v>
      </c>
      <c r="B359" s="9" t="s">
        <v>751</v>
      </c>
      <c r="C359" s="9" t="s">
        <v>752</v>
      </c>
      <c r="D359" s="9" t="s">
        <v>53</v>
      </c>
      <c r="E359" s="9" t="s">
        <v>17</v>
      </c>
      <c r="F359" s="10">
        <v>37259</v>
      </c>
      <c r="G359" s="7">
        <f t="shared" ca="1" si="20"/>
        <v>24.344444444444445</v>
      </c>
      <c r="H359" s="9" t="s">
        <v>18</v>
      </c>
      <c r="I359" s="9" t="s">
        <v>25</v>
      </c>
      <c r="J359" s="9" t="s">
        <v>26</v>
      </c>
      <c r="K359" s="9" t="s">
        <v>21</v>
      </c>
      <c r="L359" s="10">
        <v>45081</v>
      </c>
      <c r="M359" s="9">
        <f t="shared" ca="1" si="21"/>
        <v>2.9249999999999998</v>
      </c>
      <c r="N359" s="9">
        <v>6201</v>
      </c>
      <c r="O359" s="9" t="str">
        <f t="shared" si="22"/>
        <v>يونيو</v>
      </c>
      <c r="P359" s="7" t="str">
        <f t="shared" si="23"/>
        <v>راتب طبيعي</v>
      </c>
    </row>
    <row r="360" spans="1:16" x14ac:dyDescent="0.3">
      <c r="A360" s="7">
        <v>51329</v>
      </c>
      <c r="B360" s="7" t="s">
        <v>753</v>
      </c>
      <c r="C360" s="7" t="s">
        <v>754</v>
      </c>
      <c r="D360" s="7" t="s">
        <v>40</v>
      </c>
      <c r="E360" s="7" t="s">
        <v>17</v>
      </c>
      <c r="F360" s="8">
        <v>33808</v>
      </c>
      <c r="G360" s="7">
        <f t="shared" ca="1" si="20"/>
        <v>33.788888888888891</v>
      </c>
      <c r="H360" s="7" t="s">
        <v>18</v>
      </c>
      <c r="I360" s="7" t="s">
        <v>25</v>
      </c>
      <c r="J360" s="7" t="s">
        <v>27</v>
      </c>
      <c r="K360" s="7" t="s">
        <v>21</v>
      </c>
      <c r="L360" s="8">
        <v>45082</v>
      </c>
      <c r="M360" s="7">
        <f t="shared" ca="1" si="21"/>
        <v>2.9222222222222221</v>
      </c>
      <c r="N360" s="7">
        <v>5212</v>
      </c>
      <c r="O360" s="7" t="str">
        <f t="shared" si="22"/>
        <v>يونيو</v>
      </c>
      <c r="P360" s="7" t="str">
        <f t="shared" si="23"/>
        <v>راتب عالي</v>
      </c>
    </row>
    <row r="361" spans="1:16" x14ac:dyDescent="0.3">
      <c r="A361" s="9">
        <v>52833</v>
      </c>
      <c r="B361" s="9" t="s">
        <v>755</v>
      </c>
      <c r="C361" s="9" t="s">
        <v>756</v>
      </c>
      <c r="D361" s="9" t="s">
        <v>40</v>
      </c>
      <c r="E361" s="9" t="s">
        <v>17</v>
      </c>
      <c r="F361" s="10">
        <v>35747</v>
      </c>
      <c r="G361" s="7">
        <f t="shared" ca="1" si="20"/>
        <v>28.483333333333334</v>
      </c>
      <c r="H361" s="9" t="s">
        <v>18</v>
      </c>
      <c r="I361" s="9" t="s">
        <v>25</v>
      </c>
      <c r="J361" s="9" t="s">
        <v>27</v>
      </c>
      <c r="K361" s="9" t="s">
        <v>21</v>
      </c>
      <c r="L361" s="10">
        <v>45083</v>
      </c>
      <c r="M361" s="9">
        <f t="shared" ca="1" si="21"/>
        <v>2.9194444444444443</v>
      </c>
      <c r="N361" s="9">
        <v>4759</v>
      </c>
      <c r="O361" s="9" t="str">
        <f t="shared" si="22"/>
        <v>يونيو</v>
      </c>
      <c r="P361" s="7" t="str">
        <f t="shared" si="23"/>
        <v>راتب عالي</v>
      </c>
    </row>
    <row r="362" spans="1:16" x14ac:dyDescent="0.3">
      <c r="A362" s="7">
        <v>59070</v>
      </c>
      <c r="B362" s="7" t="s">
        <v>757</v>
      </c>
      <c r="C362" s="7" t="s">
        <v>758</v>
      </c>
      <c r="D362" s="7" t="s">
        <v>34</v>
      </c>
      <c r="E362" s="7" t="s">
        <v>17</v>
      </c>
      <c r="F362" s="8">
        <v>30983</v>
      </c>
      <c r="G362" s="7">
        <f t="shared" ca="1" si="20"/>
        <v>41.524999999999999</v>
      </c>
      <c r="H362" s="7" t="s">
        <v>36</v>
      </c>
      <c r="I362" s="7" t="s">
        <v>46</v>
      </c>
      <c r="J362" s="7" t="s">
        <v>31</v>
      </c>
      <c r="K362" s="7" t="s">
        <v>21</v>
      </c>
      <c r="L362" s="8">
        <v>45084</v>
      </c>
      <c r="M362" s="7">
        <f t="shared" ca="1" si="21"/>
        <v>2.9166666666666665</v>
      </c>
      <c r="N362" s="7">
        <v>13083</v>
      </c>
      <c r="O362" s="7" t="str">
        <f t="shared" si="22"/>
        <v>يونيو</v>
      </c>
      <c r="P362" s="7" t="str">
        <f t="shared" si="23"/>
        <v>راتب طبيعي</v>
      </c>
    </row>
    <row r="363" spans="1:16" x14ac:dyDescent="0.3">
      <c r="A363" s="9">
        <v>53300</v>
      </c>
      <c r="B363" s="9" t="s">
        <v>759</v>
      </c>
      <c r="C363" s="9" t="s">
        <v>760</v>
      </c>
      <c r="D363" s="9" t="s">
        <v>66</v>
      </c>
      <c r="E363" s="9" t="s">
        <v>17</v>
      </c>
      <c r="F363" s="10">
        <v>35372</v>
      </c>
      <c r="G363" s="7">
        <f t="shared" ca="1" si="20"/>
        <v>29.511111111111113</v>
      </c>
      <c r="H363" s="9" t="s">
        <v>18</v>
      </c>
      <c r="I363" s="9" t="s">
        <v>19</v>
      </c>
      <c r="J363" s="9" t="s">
        <v>31</v>
      </c>
      <c r="K363" s="9" t="s">
        <v>21</v>
      </c>
      <c r="L363" s="10">
        <v>45085</v>
      </c>
      <c r="M363" s="9">
        <f t="shared" ca="1" si="21"/>
        <v>2.9138888888888888</v>
      </c>
      <c r="N363" s="9">
        <v>21587</v>
      </c>
      <c r="O363" s="9" t="str">
        <f t="shared" si="22"/>
        <v>يونيو</v>
      </c>
      <c r="P363" s="7" t="str">
        <f t="shared" si="23"/>
        <v>راتب طبيعي</v>
      </c>
    </row>
    <row r="364" spans="1:16" x14ac:dyDescent="0.3">
      <c r="A364" s="7">
        <v>55228</v>
      </c>
      <c r="B364" s="7" t="s">
        <v>761</v>
      </c>
      <c r="C364" s="7" t="s">
        <v>762</v>
      </c>
      <c r="D364" s="7" t="s">
        <v>66</v>
      </c>
      <c r="E364" s="7" t="s">
        <v>17</v>
      </c>
      <c r="F364" s="8">
        <v>33059</v>
      </c>
      <c r="G364" s="7">
        <f t="shared" ca="1" si="20"/>
        <v>35.838888888888889</v>
      </c>
      <c r="H364" s="7" t="s">
        <v>36</v>
      </c>
      <c r="I364" s="7" t="s">
        <v>25</v>
      </c>
      <c r="J364" s="7" t="s">
        <v>27</v>
      </c>
      <c r="K364" s="7" t="s">
        <v>21</v>
      </c>
      <c r="L364" s="8">
        <v>45086</v>
      </c>
      <c r="M364" s="7">
        <f t="shared" ca="1" si="21"/>
        <v>2.911111111111111</v>
      </c>
      <c r="N364" s="7">
        <v>4392</v>
      </c>
      <c r="O364" s="7" t="str">
        <f t="shared" si="22"/>
        <v>يونيو</v>
      </c>
      <c r="P364" s="7" t="str">
        <f t="shared" si="23"/>
        <v>راتب عالي</v>
      </c>
    </row>
    <row r="365" spans="1:16" x14ac:dyDescent="0.3">
      <c r="A365" s="9">
        <v>55525</v>
      </c>
      <c r="B365" s="9" t="s">
        <v>763</v>
      </c>
      <c r="C365" s="9" t="s">
        <v>764</v>
      </c>
      <c r="D365" s="9" t="s">
        <v>16</v>
      </c>
      <c r="E365" s="9" t="s">
        <v>17</v>
      </c>
      <c r="F365" s="10">
        <v>36466</v>
      </c>
      <c r="G365" s="7">
        <f t="shared" ca="1" si="20"/>
        <v>26.513888888888889</v>
      </c>
      <c r="H365" s="9" t="s">
        <v>18</v>
      </c>
      <c r="I365" s="9" t="s">
        <v>46</v>
      </c>
      <c r="J365" s="9" t="s">
        <v>20</v>
      </c>
      <c r="K365" s="9" t="s">
        <v>21</v>
      </c>
      <c r="L365" s="10">
        <v>45087</v>
      </c>
      <c r="M365" s="9">
        <f t="shared" ca="1" si="21"/>
        <v>2.9083333333333332</v>
      </c>
      <c r="N365" s="9">
        <v>14997</v>
      </c>
      <c r="O365" s="9" t="str">
        <f t="shared" si="22"/>
        <v>يونيو</v>
      </c>
      <c r="P365" s="7" t="str">
        <f t="shared" si="23"/>
        <v>راتب طبيعي</v>
      </c>
    </row>
    <row r="366" spans="1:16" x14ac:dyDescent="0.3">
      <c r="A366" s="7">
        <v>58426</v>
      </c>
      <c r="B366" s="7" t="s">
        <v>765</v>
      </c>
      <c r="C366" s="7" t="s">
        <v>766</v>
      </c>
      <c r="D366" s="7" t="s">
        <v>34</v>
      </c>
      <c r="E366" s="7" t="s">
        <v>17</v>
      </c>
      <c r="F366" s="8">
        <v>36753</v>
      </c>
      <c r="G366" s="7">
        <f t="shared" ca="1" si="20"/>
        <v>25.727777777777778</v>
      </c>
      <c r="H366" s="7" t="s">
        <v>18</v>
      </c>
      <c r="I366" s="7" t="s">
        <v>25</v>
      </c>
      <c r="J366" s="7" t="s">
        <v>21</v>
      </c>
      <c r="K366" s="7" t="s">
        <v>21</v>
      </c>
      <c r="L366" s="8">
        <v>45088</v>
      </c>
      <c r="M366" s="7">
        <f t="shared" ca="1" si="21"/>
        <v>2.9055555555555554</v>
      </c>
      <c r="N366" s="7">
        <v>3126</v>
      </c>
      <c r="O366" s="7" t="str">
        <f t="shared" si="22"/>
        <v>يونيو</v>
      </c>
      <c r="P366" s="7" t="str">
        <f t="shared" si="23"/>
        <v>راتب عالي</v>
      </c>
    </row>
    <row r="367" spans="1:16" x14ac:dyDescent="0.3">
      <c r="A367" s="9">
        <v>58135</v>
      </c>
      <c r="B367" s="9" t="s">
        <v>767</v>
      </c>
      <c r="C367" s="9" t="s">
        <v>768</v>
      </c>
      <c r="D367" s="9" t="s">
        <v>95</v>
      </c>
      <c r="E367" s="9" t="s">
        <v>17</v>
      </c>
      <c r="F367" s="10">
        <v>37350</v>
      </c>
      <c r="G367" s="7">
        <f t="shared" ca="1" si="20"/>
        <v>24.091666666666665</v>
      </c>
      <c r="H367" s="9" t="s">
        <v>18</v>
      </c>
      <c r="I367" s="9" t="s">
        <v>19</v>
      </c>
      <c r="J367" s="9" t="s">
        <v>21</v>
      </c>
      <c r="K367" s="9" t="s">
        <v>21</v>
      </c>
      <c r="L367" s="10">
        <v>45089</v>
      </c>
      <c r="M367" s="9">
        <f t="shared" ca="1" si="21"/>
        <v>2.9027777777777777</v>
      </c>
      <c r="N367" s="9">
        <v>29078</v>
      </c>
      <c r="O367" s="9" t="str">
        <f t="shared" si="22"/>
        <v>يونيو</v>
      </c>
      <c r="P367" s="7" t="str">
        <f t="shared" si="23"/>
        <v>راتب طبيعي</v>
      </c>
    </row>
    <row r="368" spans="1:16" x14ac:dyDescent="0.3">
      <c r="A368" s="7">
        <v>59220</v>
      </c>
      <c r="B368" s="7" t="s">
        <v>769</v>
      </c>
      <c r="C368" s="7" t="s">
        <v>770</v>
      </c>
      <c r="D368" s="7" t="s">
        <v>30</v>
      </c>
      <c r="E368" s="7" t="s">
        <v>17</v>
      </c>
      <c r="F368" s="8">
        <v>37517</v>
      </c>
      <c r="G368" s="7">
        <f t="shared" ca="1" si="20"/>
        <v>23.636111111111113</v>
      </c>
      <c r="H368" s="7" t="s">
        <v>36</v>
      </c>
      <c r="I368" s="7" t="s">
        <v>25</v>
      </c>
      <c r="J368" s="7" t="s">
        <v>21</v>
      </c>
      <c r="K368" s="7" t="s">
        <v>21</v>
      </c>
      <c r="L368" s="8">
        <v>45090</v>
      </c>
      <c r="M368" s="7">
        <f t="shared" ca="1" si="21"/>
        <v>2.9</v>
      </c>
      <c r="N368" s="7">
        <v>4898</v>
      </c>
      <c r="O368" s="7" t="str">
        <f t="shared" si="22"/>
        <v>يونيو</v>
      </c>
      <c r="P368" s="7" t="str">
        <f t="shared" si="23"/>
        <v>راتب عالي</v>
      </c>
    </row>
    <row r="369" spans="1:16" x14ac:dyDescent="0.3">
      <c r="A369" s="9">
        <v>55606</v>
      </c>
      <c r="B369" s="9" t="s">
        <v>771</v>
      </c>
      <c r="C369" s="9" t="s">
        <v>772</v>
      </c>
      <c r="D369" s="9" t="s">
        <v>95</v>
      </c>
      <c r="E369" s="9" t="s">
        <v>17</v>
      </c>
      <c r="F369" s="10">
        <v>37016</v>
      </c>
      <c r="G369" s="7">
        <f t="shared" ca="1" si="20"/>
        <v>25.005555555555556</v>
      </c>
      <c r="H369" s="9" t="s">
        <v>18</v>
      </c>
      <c r="I369" s="9" t="s">
        <v>46</v>
      </c>
      <c r="J369" s="9" t="s">
        <v>20</v>
      </c>
      <c r="K369" s="9" t="s">
        <v>21</v>
      </c>
      <c r="L369" s="10">
        <v>45091</v>
      </c>
      <c r="M369" s="9">
        <f t="shared" ca="1" si="21"/>
        <v>2.8972222222222221</v>
      </c>
      <c r="N369" s="9">
        <v>14570</v>
      </c>
      <c r="O369" s="9" t="str">
        <f t="shared" si="22"/>
        <v>يونيو</v>
      </c>
      <c r="P369" s="7" t="str">
        <f t="shared" si="23"/>
        <v>راتب طبيعي</v>
      </c>
    </row>
    <row r="370" spans="1:16" x14ac:dyDescent="0.3">
      <c r="A370" s="7">
        <v>53403</v>
      </c>
      <c r="B370" s="7" t="s">
        <v>773</v>
      </c>
      <c r="C370" s="7" t="s">
        <v>774</v>
      </c>
      <c r="D370" s="7" t="s">
        <v>40</v>
      </c>
      <c r="E370" s="7" t="s">
        <v>17</v>
      </c>
      <c r="F370" s="8">
        <v>37189</v>
      </c>
      <c r="G370" s="7">
        <f t="shared" ca="1" si="20"/>
        <v>24.533333333333335</v>
      </c>
      <c r="H370" s="7" t="s">
        <v>18</v>
      </c>
      <c r="I370" s="7" t="s">
        <v>19</v>
      </c>
      <c r="J370" s="7" t="s">
        <v>31</v>
      </c>
      <c r="K370" s="7" t="s">
        <v>21</v>
      </c>
      <c r="L370" s="8">
        <v>45092</v>
      </c>
      <c r="M370" s="7">
        <f t="shared" ca="1" si="21"/>
        <v>2.8944444444444444</v>
      </c>
      <c r="N370" s="7">
        <v>25609</v>
      </c>
      <c r="O370" s="7" t="str">
        <f t="shared" si="22"/>
        <v>يونيو</v>
      </c>
      <c r="P370" s="7" t="str">
        <f t="shared" si="23"/>
        <v>راتب طبيعي</v>
      </c>
    </row>
    <row r="371" spans="1:16" x14ac:dyDescent="0.3">
      <c r="A371" s="9">
        <v>52167</v>
      </c>
      <c r="B371" s="9" t="s">
        <v>775</v>
      </c>
      <c r="C371" s="9" t="s">
        <v>776</v>
      </c>
      <c r="D371" s="9" t="s">
        <v>95</v>
      </c>
      <c r="E371" s="9" t="s">
        <v>17</v>
      </c>
      <c r="F371" s="10">
        <v>32406</v>
      </c>
      <c r="G371" s="7">
        <f t="shared" ca="1" si="20"/>
        <v>37.630555555555553</v>
      </c>
      <c r="H371" s="9" t="s">
        <v>36</v>
      </c>
      <c r="I371" s="9" t="s">
        <v>25</v>
      </c>
      <c r="J371" s="9" t="s">
        <v>31</v>
      </c>
      <c r="K371" s="9" t="s">
        <v>21</v>
      </c>
      <c r="L371" s="10">
        <v>45093</v>
      </c>
      <c r="M371" s="9">
        <f t="shared" ca="1" si="21"/>
        <v>2.8916666666666666</v>
      </c>
      <c r="N371" s="9">
        <v>5256</v>
      </c>
      <c r="O371" s="9" t="str">
        <f t="shared" si="22"/>
        <v>يونيو</v>
      </c>
      <c r="P371" s="7" t="str">
        <f t="shared" si="23"/>
        <v>راتب عالي</v>
      </c>
    </row>
    <row r="372" spans="1:16" x14ac:dyDescent="0.3">
      <c r="A372" s="7">
        <v>58071</v>
      </c>
      <c r="B372" s="7" t="s">
        <v>777</v>
      </c>
      <c r="C372" s="7" t="s">
        <v>778</v>
      </c>
      <c r="D372" s="7" t="s">
        <v>95</v>
      </c>
      <c r="E372" s="7" t="s">
        <v>17</v>
      </c>
      <c r="F372" s="8">
        <v>35438</v>
      </c>
      <c r="G372" s="7">
        <f t="shared" ca="1" si="20"/>
        <v>29.330555555555556</v>
      </c>
      <c r="H372" s="7" t="s">
        <v>36</v>
      </c>
      <c r="I372" s="7" t="s">
        <v>25</v>
      </c>
      <c r="J372" s="7" t="s">
        <v>26</v>
      </c>
      <c r="K372" s="7" t="s">
        <v>21</v>
      </c>
      <c r="L372" s="8">
        <v>45094</v>
      </c>
      <c r="M372" s="7">
        <f t="shared" ca="1" si="21"/>
        <v>2.8888888888888888</v>
      </c>
      <c r="N372" s="7">
        <v>3536</v>
      </c>
      <c r="O372" s="7" t="str">
        <f t="shared" si="22"/>
        <v>يونيو</v>
      </c>
      <c r="P372" s="7" t="str">
        <f t="shared" si="23"/>
        <v>راتب عالي</v>
      </c>
    </row>
    <row r="373" spans="1:16" x14ac:dyDescent="0.3">
      <c r="A373" s="9">
        <v>52634</v>
      </c>
      <c r="B373" s="9" t="s">
        <v>779</v>
      </c>
      <c r="C373" s="9" t="s">
        <v>780</v>
      </c>
      <c r="D373" s="9" t="s">
        <v>30</v>
      </c>
      <c r="E373" s="9" t="s">
        <v>17</v>
      </c>
      <c r="F373" s="10">
        <v>35588</v>
      </c>
      <c r="G373" s="7">
        <f t="shared" ca="1" si="20"/>
        <v>28.916666666666668</v>
      </c>
      <c r="H373" s="9" t="s">
        <v>36</v>
      </c>
      <c r="I373" s="9" t="s">
        <v>46</v>
      </c>
      <c r="J373" s="9" t="s">
        <v>20</v>
      </c>
      <c r="K373" s="9" t="s">
        <v>21</v>
      </c>
      <c r="L373" s="10">
        <v>45095</v>
      </c>
      <c r="M373" s="9">
        <f t="shared" ca="1" si="21"/>
        <v>2.8861111111111111</v>
      </c>
      <c r="N373" s="9">
        <v>12027</v>
      </c>
      <c r="O373" s="9" t="str">
        <f t="shared" si="22"/>
        <v>يونيو</v>
      </c>
      <c r="P373" s="7" t="str">
        <f t="shared" si="23"/>
        <v>راتب طبيعي</v>
      </c>
    </row>
    <row r="374" spans="1:16" x14ac:dyDescent="0.3">
      <c r="A374" s="7">
        <v>54372</v>
      </c>
      <c r="B374" s="7" t="s">
        <v>781</v>
      </c>
      <c r="C374" s="7" t="s">
        <v>782</v>
      </c>
      <c r="D374" s="7" t="s">
        <v>43</v>
      </c>
      <c r="E374" s="7" t="s">
        <v>17</v>
      </c>
      <c r="F374" s="8">
        <v>34758</v>
      </c>
      <c r="G374" s="7">
        <f t="shared" ca="1" si="20"/>
        <v>31.18611111111111</v>
      </c>
      <c r="H374" s="7" t="s">
        <v>18</v>
      </c>
      <c r="I374" s="7" t="s">
        <v>25</v>
      </c>
      <c r="J374" s="7" t="s">
        <v>21</v>
      </c>
      <c r="K374" s="7" t="s">
        <v>37</v>
      </c>
      <c r="L374" s="8">
        <v>45096</v>
      </c>
      <c r="M374" s="7">
        <f t="shared" ca="1" si="21"/>
        <v>2.8833333333333333</v>
      </c>
      <c r="N374" s="7">
        <v>3683</v>
      </c>
      <c r="O374" s="7" t="str">
        <f t="shared" si="22"/>
        <v>يونيو</v>
      </c>
      <c r="P374" s="7" t="str">
        <f t="shared" si="23"/>
        <v>راتب عالي</v>
      </c>
    </row>
    <row r="375" spans="1:16" x14ac:dyDescent="0.3">
      <c r="A375" s="9">
        <v>50948</v>
      </c>
      <c r="B375" s="9" t="s">
        <v>783</v>
      </c>
      <c r="C375" s="9" t="s">
        <v>784</v>
      </c>
      <c r="D375" s="9" t="s">
        <v>40</v>
      </c>
      <c r="E375" s="9" t="s">
        <v>17</v>
      </c>
      <c r="F375" s="10">
        <v>30265</v>
      </c>
      <c r="G375" s="7">
        <f t="shared" ca="1" si="20"/>
        <v>43.491666666666667</v>
      </c>
      <c r="H375" s="9" t="s">
        <v>18</v>
      </c>
      <c r="I375" s="9" t="s">
        <v>25</v>
      </c>
      <c r="J375" s="9" t="s">
        <v>31</v>
      </c>
      <c r="K375" s="9" t="s">
        <v>27</v>
      </c>
      <c r="L375" s="10">
        <v>45097</v>
      </c>
      <c r="M375" s="9">
        <f t="shared" ca="1" si="21"/>
        <v>2.8805555555555555</v>
      </c>
      <c r="N375" s="9">
        <v>5853</v>
      </c>
      <c r="O375" s="9" t="str">
        <f t="shared" si="22"/>
        <v>يونيو</v>
      </c>
      <c r="P375" s="7" t="str">
        <f t="shared" si="23"/>
        <v>راتب عالي</v>
      </c>
    </row>
    <row r="376" spans="1:16" x14ac:dyDescent="0.3">
      <c r="A376" s="7">
        <v>50027</v>
      </c>
      <c r="B376" s="7" t="s">
        <v>785</v>
      </c>
      <c r="C376" s="7" t="s">
        <v>786</v>
      </c>
      <c r="D376" s="7" t="s">
        <v>16</v>
      </c>
      <c r="E376" s="7" t="s">
        <v>17</v>
      </c>
      <c r="F376" s="8">
        <v>32338</v>
      </c>
      <c r="G376" s="7">
        <f t="shared" ca="1" si="20"/>
        <v>37.81388888888889</v>
      </c>
      <c r="H376" s="7" t="s">
        <v>18</v>
      </c>
      <c r="I376" s="7" t="s">
        <v>25</v>
      </c>
      <c r="J376" s="7" t="s">
        <v>27</v>
      </c>
      <c r="K376" s="7" t="s">
        <v>37</v>
      </c>
      <c r="L376" s="8">
        <v>45098</v>
      </c>
      <c r="M376" s="7">
        <f t="shared" ca="1" si="21"/>
        <v>2.8777777777777778</v>
      </c>
      <c r="N376" s="7">
        <v>5983</v>
      </c>
      <c r="O376" s="7" t="str">
        <f t="shared" si="22"/>
        <v>يونيو</v>
      </c>
      <c r="P376" s="7" t="str">
        <f t="shared" si="23"/>
        <v>راتب طبيعي</v>
      </c>
    </row>
    <row r="377" spans="1:16" x14ac:dyDescent="0.3">
      <c r="A377" s="9">
        <v>52966</v>
      </c>
      <c r="B377" s="9" t="s">
        <v>787</v>
      </c>
      <c r="C377" s="9" t="s">
        <v>788</v>
      </c>
      <c r="D377" s="9" t="s">
        <v>146</v>
      </c>
      <c r="E377" s="9" t="s">
        <v>17</v>
      </c>
      <c r="F377" s="10">
        <v>34608</v>
      </c>
      <c r="G377" s="7">
        <f t="shared" ca="1" si="20"/>
        <v>31.6</v>
      </c>
      <c r="H377" s="9" t="s">
        <v>36</v>
      </c>
      <c r="I377" s="9" t="s">
        <v>46</v>
      </c>
      <c r="J377" s="9" t="s">
        <v>20</v>
      </c>
      <c r="K377" s="9" t="s">
        <v>26</v>
      </c>
      <c r="L377" s="10">
        <v>45099</v>
      </c>
      <c r="M377" s="9">
        <f t="shared" ca="1" si="21"/>
        <v>2.875</v>
      </c>
      <c r="N377" s="9">
        <v>12617</v>
      </c>
      <c r="O377" s="9" t="str">
        <f t="shared" si="22"/>
        <v>يونيو</v>
      </c>
      <c r="P377" s="7" t="str">
        <f t="shared" si="23"/>
        <v>راتب طبيعي</v>
      </c>
    </row>
    <row r="378" spans="1:16" x14ac:dyDescent="0.3">
      <c r="A378" s="7">
        <v>54756</v>
      </c>
      <c r="B378" s="7" t="s">
        <v>789</v>
      </c>
      <c r="C378" s="7" t="s">
        <v>790</v>
      </c>
      <c r="D378" s="7" t="s">
        <v>16</v>
      </c>
      <c r="E378" s="7" t="s">
        <v>17</v>
      </c>
      <c r="F378" s="8">
        <v>37609</v>
      </c>
      <c r="G378" s="7">
        <f t="shared" ca="1" si="20"/>
        <v>23.383333333333333</v>
      </c>
      <c r="H378" s="7" t="s">
        <v>18</v>
      </c>
      <c r="I378" s="7" t="s">
        <v>25</v>
      </c>
      <c r="J378" s="7" t="s">
        <v>27</v>
      </c>
      <c r="K378" s="7" t="s">
        <v>37</v>
      </c>
      <c r="L378" s="8">
        <v>45100</v>
      </c>
      <c r="M378" s="7">
        <f t="shared" ca="1" si="21"/>
        <v>2.8722222222222222</v>
      </c>
      <c r="N378" s="7">
        <v>5658</v>
      </c>
      <c r="O378" s="7" t="str">
        <f t="shared" si="22"/>
        <v>يونيو</v>
      </c>
      <c r="P378" s="7" t="str">
        <f t="shared" si="23"/>
        <v>راتب عالي</v>
      </c>
    </row>
    <row r="379" spans="1:16" x14ac:dyDescent="0.3">
      <c r="A379" s="9">
        <v>57638</v>
      </c>
      <c r="B379" s="9" t="s">
        <v>791</v>
      </c>
      <c r="C379" s="9" t="s">
        <v>792</v>
      </c>
      <c r="D379" s="9" t="s">
        <v>95</v>
      </c>
      <c r="E379" s="9" t="s">
        <v>17</v>
      </c>
      <c r="F379" s="10">
        <v>33321</v>
      </c>
      <c r="G379" s="7">
        <f t="shared" ca="1" si="20"/>
        <v>35.119444444444447</v>
      </c>
      <c r="H379" s="9" t="s">
        <v>18</v>
      </c>
      <c r="I379" s="9" t="s">
        <v>25</v>
      </c>
      <c r="J379" s="9" t="s">
        <v>27</v>
      </c>
      <c r="K379" s="9" t="s">
        <v>20</v>
      </c>
      <c r="L379" s="10">
        <v>45101</v>
      </c>
      <c r="M379" s="9">
        <f t="shared" ca="1" si="21"/>
        <v>2.8694444444444445</v>
      </c>
      <c r="N379" s="9">
        <v>4446</v>
      </c>
      <c r="O379" s="9" t="str">
        <f t="shared" si="22"/>
        <v>يونيو</v>
      </c>
      <c r="P379" s="7" t="str">
        <f t="shared" si="23"/>
        <v>راتب عالي</v>
      </c>
    </row>
    <row r="380" spans="1:16" x14ac:dyDescent="0.3">
      <c r="A380" s="7">
        <v>51913</v>
      </c>
      <c r="B380" s="7" t="s">
        <v>793</v>
      </c>
      <c r="C380" s="7" t="s">
        <v>794</v>
      </c>
      <c r="D380" s="7" t="s">
        <v>40</v>
      </c>
      <c r="E380" s="7" t="s">
        <v>17</v>
      </c>
      <c r="F380" s="8">
        <v>37769</v>
      </c>
      <c r="G380" s="7">
        <f t="shared" ca="1" si="20"/>
        <v>22.941666666666666</v>
      </c>
      <c r="H380" s="7" t="s">
        <v>36</v>
      </c>
      <c r="I380" s="7" t="s">
        <v>25</v>
      </c>
      <c r="J380" s="7" t="s">
        <v>21</v>
      </c>
      <c r="K380" s="7" t="s">
        <v>31</v>
      </c>
      <c r="L380" s="8">
        <v>45102</v>
      </c>
      <c r="M380" s="7">
        <f t="shared" ca="1" si="21"/>
        <v>2.8666666666666667</v>
      </c>
      <c r="N380" s="7">
        <v>5585</v>
      </c>
      <c r="O380" s="7" t="str">
        <f t="shared" si="22"/>
        <v>يونيو</v>
      </c>
      <c r="P380" s="7" t="str">
        <f t="shared" si="23"/>
        <v>راتب عالي</v>
      </c>
    </row>
    <row r="381" spans="1:16" x14ac:dyDescent="0.3">
      <c r="A381" s="9">
        <v>54319</v>
      </c>
      <c r="B381" s="9" t="s">
        <v>795</v>
      </c>
      <c r="C381" s="9" t="s">
        <v>796</v>
      </c>
      <c r="D381" s="9" t="s">
        <v>95</v>
      </c>
      <c r="E381" s="9" t="s">
        <v>17</v>
      </c>
      <c r="F381" s="10">
        <v>32626</v>
      </c>
      <c r="G381" s="7">
        <f t="shared" ca="1" si="20"/>
        <v>37.024999999999999</v>
      </c>
      <c r="H381" s="9" t="s">
        <v>36</v>
      </c>
      <c r="I381" s="9" t="s">
        <v>25</v>
      </c>
      <c r="J381" s="9" t="s">
        <v>27</v>
      </c>
      <c r="K381" s="9" t="s">
        <v>37</v>
      </c>
      <c r="L381" s="10">
        <v>45103</v>
      </c>
      <c r="M381" s="9">
        <f t="shared" ca="1" si="21"/>
        <v>2.8638888888888889</v>
      </c>
      <c r="N381" s="9">
        <v>6335</v>
      </c>
      <c r="O381" s="9" t="str">
        <f t="shared" si="22"/>
        <v>يونيو</v>
      </c>
      <c r="P381" s="7" t="str">
        <f t="shared" si="23"/>
        <v>راتب طبيعي</v>
      </c>
    </row>
    <row r="382" spans="1:16" x14ac:dyDescent="0.3">
      <c r="A382" s="7">
        <v>58229</v>
      </c>
      <c r="B382" s="7" t="s">
        <v>797</v>
      </c>
      <c r="C382" s="7" t="s">
        <v>798</v>
      </c>
      <c r="D382" s="7" t="s">
        <v>40</v>
      </c>
      <c r="E382" s="7" t="s">
        <v>17</v>
      </c>
      <c r="F382" s="8">
        <v>33840</v>
      </c>
      <c r="G382" s="7">
        <f t="shared" ca="1" si="20"/>
        <v>33.702777777777776</v>
      </c>
      <c r="H382" s="7" t="s">
        <v>18</v>
      </c>
      <c r="I382" s="7" t="s">
        <v>19</v>
      </c>
      <c r="J382" s="7" t="s">
        <v>20</v>
      </c>
      <c r="K382" s="7" t="s">
        <v>37</v>
      </c>
      <c r="L382" s="8">
        <v>45104</v>
      </c>
      <c r="M382" s="7">
        <f t="shared" ca="1" si="21"/>
        <v>2.8611111111111112</v>
      </c>
      <c r="N382" s="7">
        <v>23948</v>
      </c>
      <c r="O382" s="7" t="str">
        <f t="shared" si="22"/>
        <v>يونيو</v>
      </c>
      <c r="P382" s="7" t="str">
        <f t="shared" si="23"/>
        <v>راتب طبيعي</v>
      </c>
    </row>
    <row r="383" spans="1:16" x14ac:dyDescent="0.3">
      <c r="A383" s="9">
        <v>53627</v>
      </c>
      <c r="B383" s="9" t="s">
        <v>799</v>
      </c>
      <c r="C383" s="9" t="s">
        <v>800</v>
      </c>
      <c r="D383" s="9" t="s">
        <v>40</v>
      </c>
      <c r="E383" s="9" t="s">
        <v>17</v>
      </c>
      <c r="F383" s="10">
        <v>32253</v>
      </c>
      <c r="G383" s="7">
        <f t="shared" ca="1" si="20"/>
        <v>38.047222222222224</v>
      </c>
      <c r="H383" s="9" t="s">
        <v>18</v>
      </c>
      <c r="I383" s="9" t="s">
        <v>25</v>
      </c>
      <c r="J383" s="9" t="s">
        <v>31</v>
      </c>
      <c r="K383" s="9" t="s">
        <v>31</v>
      </c>
      <c r="L383" s="10">
        <v>45105</v>
      </c>
      <c r="M383" s="9">
        <f t="shared" ca="1" si="21"/>
        <v>2.8583333333333334</v>
      </c>
      <c r="N383" s="9">
        <v>4530</v>
      </c>
      <c r="O383" s="9" t="str">
        <f t="shared" si="22"/>
        <v>يونيو</v>
      </c>
      <c r="P383" s="7" t="str">
        <f t="shared" si="23"/>
        <v>راتب عالي</v>
      </c>
    </row>
    <row r="384" spans="1:16" x14ac:dyDescent="0.3">
      <c r="A384" s="7">
        <v>58717</v>
      </c>
      <c r="B384" s="7" t="s">
        <v>801</v>
      </c>
      <c r="C384" s="7" t="s">
        <v>802</v>
      </c>
      <c r="D384" s="7" t="s">
        <v>53</v>
      </c>
      <c r="E384" s="7" t="s">
        <v>17</v>
      </c>
      <c r="F384" s="8">
        <v>36513</v>
      </c>
      <c r="G384" s="7">
        <f t="shared" ca="1" si="20"/>
        <v>26.383333333333333</v>
      </c>
      <c r="H384" s="7" t="s">
        <v>36</v>
      </c>
      <c r="I384" s="7" t="s">
        <v>25</v>
      </c>
      <c r="J384" s="7" t="s">
        <v>26</v>
      </c>
      <c r="K384" s="7" t="s">
        <v>26</v>
      </c>
      <c r="L384" s="8">
        <v>45106</v>
      </c>
      <c r="M384" s="7">
        <f t="shared" ca="1" si="21"/>
        <v>2.8555555555555556</v>
      </c>
      <c r="N384" s="7">
        <v>5106</v>
      </c>
      <c r="O384" s="7" t="str">
        <f t="shared" si="22"/>
        <v>يونيو</v>
      </c>
      <c r="P384" s="7" t="str">
        <f t="shared" si="23"/>
        <v>راتب عالي</v>
      </c>
    </row>
    <row r="385" spans="1:16" x14ac:dyDescent="0.3">
      <c r="A385" s="9">
        <v>54089</v>
      </c>
      <c r="B385" s="9" t="s">
        <v>803</v>
      </c>
      <c r="C385" s="9" t="s">
        <v>804</v>
      </c>
      <c r="D385" s="9" t="s">
        <v>16</v>
      </c>
      <c r="E385" s="9" t="s">
        <v>17</v>
      </c>
      <c r="F385" s="10">
        <v>31378</v>
      </c>
      <c r="G385" s="7">
        <f t="shared" ca="1" si="20"/>
        <v>40.444444444444443</v>
      </c>
      <c r="H385" s="9" t="s">
        <v>36</v>
      </c>
      <c r="I385" s="9" t="s">
        <v>25</v>
      </c>
      <c r="J385" s="9" t="s">
        <v>20</v>
      </c>
      <c r="K385" s="9" t="s">
        <v>26</v>
      </c>
      <c r="L385" s="10">
        <v>45107</v>
      </c>
      <c r="M385" s="9">
        <f t="shared" ca="1" si="21"/>
        <v>2.8527777777777779</v>
      </c>
      <c r="N385" s="9">
        <v>6573</v>
      </c>
      <c r="O385" s="9" t="str">
        <f t="shared" si="22"/>
        <v>يونيو</v>
      </c>
      <c r="P385" s="7" t="str">
        <f t="shared" si="23"/>
        <v>راتب طبيعي</v>
      </c>
    </row>
    <row r="386" spans="1:16" x14ac:dyDescent="0.3">
      <c r="A386" s="7">
        <v>59860</v>
      </c>
      <c r="B386" s="7" t="s">
        <v>805</v>
      </c>
      <c r="C386" s="7" t="s">
        <v>806</v>
      </c>
      <c r="D386" s="7" t="s">
        <v>43</v>
      </c>
      <c r="E386" s="7" t="s">
        <v>17</v>
      </c>
      <c r="F386" s="8">
        <v>30964</v>
      </c>
      <c r="G386" s="7">
        <f t="shared" ca="1" si="20"/>
        <v>41.577777777777776</v>
      </c>
      <c r="H386" s="7" t="s">
        <v>36</v>
      </c>
      <c r="I386" s="7" t="s">
        <v>19</v>
      </c>
      <c r="J386" s="7" t="s">
        <v>27</v>
      </c>
      <c r="K386" s="7" t="s">
        <v>31</v>
      </c>
      <c r="L386" s="8">
        <v>45108</v>
      </c>
      <c r="M386" s="7">
        <f t="shared" ca="1" si="21"/>
        <v>2.85</v>
      </c>
      <c r="N386" s="7">
        <v>26051</v>
      </c>
      <c r="O386" s="7" t="str">
        <f t="shared" si="22"/>
        <v>يوليو</v>
      </c>
      <c r="P386" s="7" t="str">
        <f t="shared" si="23"/>
        <v>راتب طبيعي</v>
      </c>
    </row>
    <row r="387" spans="1:16" x14ac:dyDescent="0.3">
      <c r="A387" s="9">
        <v>52553</v>
      </c>
      <c r="B387" s="9" t="s">
        <v>807</v>
      </c>
      <c r="C387" s="9" t="s">
        <v>808</v>
      </c>
      <c r="D387" s="9" t="s">
        <v>30</v>
      </c>
      <c r="E387" s="9" t="s">
        <v>17</v>
      </c>
      <c r="F387" s="10">
        <v>36846</v>
      </c>
      <c r="G387" s="7">
        <f t="shared" ref="G387:G450" ca="1" si="24">YEARFRAC(F387,TODAY())</f>
        <v>25.475000000000001</v>
      </c>
      <c r="H387" s="9" t="s">
        <v>36</v>
      </c>
      <c r="I387" s="9" t="s">
        <v>19</v>
      </c>
      <c r="J387" s="9" t="s">
        <v>20</v>
      </c>
      <c r="K387" s="9" t="s">
        <v>31</v>
      </c>
      <c r="L387" s="10">
        <v>45109</v>
      </c>
      <c r="M387" s="9">
        <f t="shared" ref="M387:M450" ca="1" si="25">YEARFRAC(L387,TODAY())</f>
        <v>2.8472222222222223</v>
      </c>
      <c r="N387" s="9">
        <v>18446</v>
      </c>
      <c r="O387" s="9" t="str">
        <f t="shared" ref="O387:O450" si="26">TEXT(L387,"mmm")</f>
        <v>يوليو</v>
      </c>
      <c r="P387" s="7" t="str">
        <f t="shared" ref="P387:P450" si="27">IF(N387&gt;=S$10,"راتب طبيعي","راتب عالي")</f>
        <v>راتب طبيعي</v>
      </c>
    </row>
    <row r="388" spans="1:16" x14ac:dyDescent="0.3">
      <c r="A388" s="7">
        <v>59554</v>
      </c>
      <c r="B388" s="7" t="s">
        <v>809</v>
      </c>
      <c r="C388" s="7" t="s">
        <v>810</v>
      </c>
      <c r="D388" s="7" t="s">
        <v>43</v>
      </c>
      <c r="E388" s="7" t="s">
        <v>17</v>
      </c>
      <c r="F388" s="8">
        <v>31199</v>
      </c>
      <c r="G388" s="7">
        <f t="shared" ca="1" si="24"/>
        <v>40.93333333333333</v>
      </c>
      <c r="H388" s="7" t="s">
        <v>18</v>
      </c>
      <c r="I388" s="7" t="s">
        <v>25</v>
      </c>
      <c r="J388" s="7" t="s">
        <v>27</v>
      </c>
      <c r="K388" s="7" t="s">
        <v>21</v>
      </c>
      <c r="L388" s="8">
        <v>45110</v>
      </c>
      <c r="M388" s="7">
        <f t="shared" ca="1" si="25"/>
        <v>2.8444444444444446</v>
      </c>
      <c r="N388" s="7">
        <v>5267</v>
      </c>
      <c r="O388" s="7" t="str">
        <f t="shared" si="26"/>
        <v>يوليو</v>
      </c>
      <c r="P388" s="7" t="str">
        <f t="shared" si="27"/>
        <v>راتب عالي</v>
      </c>
    </row>
    <row r="389" spans="1:16" x14ac:dyDescent="0.3">
      <c r="A389" s="9">
        <v>58457</v>
      </c>
      <c r="B389" s="9" t="s">
        <v>811</v>
      </c>
      <c r="C389" s="9" t="s">
        <v>812</v>
      </c>
      <c r="D389" s="9" t="s">
        <v>43</v>
      </c>
      <c r="E389" s="9" t="s">
        <v>17</v>
      </c>
      <c r="F389" s="10">
        <v>37588</v>
      </c>
      <c r="G389" s="7">
        <f t="shared" ca="1" si="24"/>
        <v>23.441666666666666</v>
      </c>
      <c r="H389" s="9" t="s">
        <v>18</v>
      </c>
      <c r="I389" s="9" t="s">
        <v>25</v>
      </c>
      <c r="J389" s="9" t="s">
        <v>21</v>
      </c>
      <c r="K389" s="9" t="s">
        <v>21</v>
      </c>
      <c r="L389" s="10">
        <v>45111</v>
      </c>
      <c r="M389" s="9">
        <f t="shared" ca="1" si="25"/>
        <v>2.8416666666666668</v>
      </c>
      <c r="N389" s="9">
        <v>3485</v>
      </c>
      <c r="O389" s="9" t="str">
        <f t="shared" si="26"/>
        <v>يوليو</v>
      </c>
      <c r="P389" s="7" t="str">
        <f t="shared" si="27"/>
        <v>راتب عالي</v>
      </c>
    </row>
    <row r="390" spans="1:16" x14ac:dyDescent="0.3">
      <c r="A390" s="7">
        <v>57415</v>
      </c>
      <c r="B390" s="7" t="s">
        <v>813</v>
      </c>
      <c r="C390" s="7" t="s">
        <v>814</v>
      </c>
      <c r="D390" s="7" t="s">
        <v>43</v>
      </c>
      <c r="E390" s="7" t="s">
        <v>17</v>
      </c>
      <c r="F390" s="8">
        <v>31915</v>
      </c>
      <c r="G390" s="7">
        <f t="shared" ca="1" si="24"/>
        <v>38.969444444444441</v>
      </c>
      <c r="H390" s="7" t="s">
        <v>18</v>
      </c>
      <c r="I390" s="7" t="s">
        <v>25</v>
      </c>
      <c r="J390" s="7" t="s">
        <v>27</v>
      </c>
      <c r="K390" s="7" t="s">
        <v>27</v>
      </c>
      <c r="L390" s="8">
        <v>45112</v>
      </c>
      <c r="M390" s="7">
        <f t="shared" ca="1" si="25"/>
        <v>2.838888888888889</v>
      </c>
      <c r="N390" s="7">
        <v>4480</v>
      </c>
      <c r="O390" s="7" t="str">
        <f t="shared" si="26"/>
        <v>يوليو</v>
      </c>
      <c r="P390" s="7" t="str">
        <f t="shared" si="27"/>
        <v>راتب عالي</v>
      </c>
    </row>
    <row r="391" spans="1:16" x14ac:dyDescent="0.3">
      <c r="A391" s="9">
        <v>55662</v>
      </c>
      <c r="B391" s="9" t="s">
        <v>815</v>
      </c>
      <c r="C391" s="9" t="s">
        <v>816</v>
      </c>
      <c r="D391" s="9" t="s">
        <v>30</v>
      </c>
      <c r="E391" s="9" t="s">
        <v>17</v>
      </c>
      <c r="F391" s="10">
        <v>33559</v>
      </c>
      <c r="G391" s="7">
        <f t="shared" ca="1" si="24"/>
        <v>34.472222222222221</v>
      </c>
      <c r="H391" s="9" t="s">
        <v>18</v>
      </c>
      <c r="I391" s="9" t="s">
        <v>46</v>
      </c>
      <c r="J391" s="9" t="s">
        <v>31</v>
      </c>
      <c r="K391" s="9" t="s">
        <v>21</v>
      </c>
      <c r="L391" s="10">
        <v>45113</v>
      </c>
      <c r="M391" s="9">
        <f t="shared" ca="1" si="25"/>
        <v>2.8361111111111112</v>
      </c>
      <c r="N391" s="9">
        <v>11820</v>
      </c>
      <c r="O391" s="9" t="str">
        <f t="shared" si="26"/>
        <v>يوليو</v>
      </c>
      <c r="P391" s="7" t="str">
        <f t="shared" si="27"/>
        <v>راتب طبيعي</v>
      </c>
    </row>
    <row r="392" spans="1:16" x14ac:dyDescent="0.3">
      <c r="A392" s="7">
        <v>59426</v>
      </c>
      <c r="B392" s="7" t="s">
        <v>817</v>
      </c>
      <c r="C392" s="7" t="s">
        <v>818</v>
      </c>
      <c r="D392" s="7" t="s">
        <v>66</v>
      </c>
      <c r="E392" s="7" t="s">
        <v>17</v>
      </c>
      <c r="F392" s="8">
        <v>34293</v>
      </c>
      <c r="G392" s="7">
        <f t="shared" ca="1" si="24"/>
        <v>32.463888888888889</v>
      </c>
      <c r="H392" s="7" t="s">
        <v>18</v>
      </c>
      <c r="I392" s="7" t="s">
        <v>46</v>
      </c>
      <c r="J392" s="7" t="s">
        <v>31</v>
      </c>
      <c r="K392" s="7" t="s">
        <v>20</v>
      </c>
      <c r="L392" s="8">
        <v>45114</v>
      </c>
      <c r="M392" s="7">
        <f t="shared" ca="1" si="25"/>
        <v>2.8333333333333335</v>
      </c>
      <c r="N392" s="7">
        <v>14286</v>
      </c>
      <c r="O392" s="7" t="str">
        <f t="shared" si="26"/>
        <v>يوليو</v>
      </c>
      <c r="P392" s="7" t="str">
        <f t="shared" si="27"/>
        <v>راتب طبيعي</v>
      </c>
    </row>
    <row r="393" spans="1:16" x14ac:dyDescent="0.3">
      <c r="A393" s="9">
        <v>59769</v>
      </c>
      <c r="B393" s="9" t="s">
        <v>819</v>
      </c>
      <c r="C393" s="9" t="s">
        <v>820</v>
      </c>
      <c r="D393" s="9" t="s">
        <v>95</v>
      </c>
      <c r="E393" s="9" t="s">
        <v>17</v>
      </c>
      <c r="F393" s="10">
        <v>36856</v>
      </c>
      <c r="G393" s="7">
        <f t="shared" ca="1" si="24"/>
        <v>25.447222222222223</v>
      </c>
      <c r="H393" s="9" t="s">
        <v>18</v>
      </c>
      <c r="I393" s="9" t="s">
        <v>25</v>
      </c>
      <c r="J393" s="9" t="s">
        <v>31</v>
      </c>
      <c r="K393" s="9" t="s">
        <v>20</v>
      </c>
      <c r="L393" s="10">
        <v>45115</v>
      </c>
      <c r="M393" s="9">
        <f t="shared" ca="1" si="25"/>
        <v>2.8305555555555557</v>
      </c>
      <c r="N393" s="9">
        <v>3967</v>
      </c>
      <c r="O393" s="9" t="str">
        <f t="shared" si="26"/>
        <v>يوليو</v>
      </c>
      <c r="P393" s="7" t="str">
        <f t="shared" si="27"/>
        <v>راتب عالي</v>
      </c>
    </row>
    <row r="394" spans="1:16" x14ac:dyDescent="0.3">
      <c r="A394" s="7">
        <v>52014</v>
      </c>
      <c r="B394" s="7" t="s">
        <v>821</v>
      </c>
      <c r="C394" s="7" t="s">
        <v>822</v>
      </c>
      <c r="D394" s="7" t="s">
        <v>146</v>
      </c>
      <c r="E394" s="7" t="s">
        <v>17</v>
      </c>
      <c r="F394" s="8">
        <v>32805</v>
      </c>
      <c r="G394" s="7">
        <f t="shared" ca="1" si="24"/>
        <v>36.536111111111111</v>
      </c>
      <c r="H394" s="7" t="s">
        <v>36</v>
      </c>
      <c r="I394" s="7" t="s">
        <v>25</v>
      </c>
      <c r="J394" s="7" t="s">
        <v>26</v>
      </c>
      <c r="K394" s="7" t="s">
        <v>20</v>
      </c>
      <c r="L394" s="8">
        <v>45116</v>
      </c>
      <c r="M394" s="7">
        <f t="shared" ca="1" si="25"/>
        <v>2.8277777777777779</v>
      </c>
      <c r="N394" s="7">
        <v>3544</v>
      </c>
      <c r="O394" s="7" t="str">
        <f t="shared" si="26"/>
        <v>يوليو</v>
      </c>
      <c r="P394" s="7" t="str">
        <f t="shared" si="27"/>
        <v>راتب عالي</v>
      </c>
    </row>
    <row r="395" spans="1:16" x14ac:dyDescent="0.3">
      <c r="A395" s="9">
        <v>54018</v>
      </c>
      <c r="B395" s="9" t="s">
        <v>823</v>
      </c>
      <c r="C395" s="9" t="s">
        <v>824</v>
      </c>
      <c r="D395" s="9" t="s">
        <v>146</v>
      </c>
      <c r="E395" s="9" t="s">
        <v>17</v>
      </c>
      <c r="F395" s="10">
        <v>33656</v>
      </c>
      <c r="G395" s="7">
        <f t="shared" ca="1" si="24"/>
        <v>34.208333333333336</v>
      </c>
      <c r="H395" s="9" t="s">
        <v>18</v>
      </c>
      <c r="I395" s="9" t="s">
        <v>25</v>
      </c>
      <c r="J395" s="9" t="s">
        <v>27</v>
      </c>
      <c r="K395" s="9" t="s">
        <v>20</v>
      </c>
      <c r="L395" s="10">
        <v>45117</v>
      </c>
      <c r="M395" s="9">
        <f t="shared" ca="1" si="25"/>
        <v>2.8250000000000002</v>
      </c>
      <c r="N395" s="9">
        <v>5996</v>
      </c>
      <c r="O395" s="9" t="str">
        <f t="shared" si="26"/>
        <v>يوليو</v>
      </c>
      <c r="P395" s="7" t="str">
        <f t="shared" si="27"/>
        <v>راتب طبيعي</v>
      </c>
    </row>
    <row r="396" spans="1:16" x14ac:dyDescent="0.3">
      <c r="A396" s="7">
        <v>50032</v>
      </c>
      <c r="B396" s="7" t="s">
        <v>825</v>
      </c>
      <c r="C396" s="7" t="s">
        <v>826</v>
      </c>
      <c r="D396" s="7" t="s">
        <v>40</v>
      </c>
      <c r="E396" s="7" t="s">
        <v>17</v>
      </c>
      <c r="F396" s="8">
        <v>35719</v>
      </c>
      <c r="G396" s="7">
        <f t="shared" ca="1" si="24"/>
        <v>28.558333333333334</v>
      </c>
      <c r="H396" s="7" t="s">
        <v>18</v>
      </c>
      <c r="I396" s="7" t="s">
        <v>19</v>
      </c>
      <c r="J396" s="7" t="s">
        <v>26</v>
      </c>
      <c r="K396" s="7" t="s">
        <v>21</v>
      </c>
      <c r="L396" s="8">
        <v>45118</v>
      </c>
      <c r="M396" s="7">
        <f t="shared" ca="1" si="25"/>
        <v>2.8222222222222224</v>
      </c>
      <c r="N396" s="7">
        <v>29143</v>
      </c>
      <c r="O396" s="7" t="str">
        <f t="shared" si="26"/>
        <v>يوليو</v>
      </c>
      <c r="P396" s="7" t="str">
        <f t="shared" si="27"/>
        <v>راتب طبيعي</v>
      </c>
    </row>
    <row r="397" spans="1:16" x14ac:dyDescent="0.3">
      <c r="A397" s="9">
        <v>52301</v>
      </c>
      <c r="B397" s="9" t="s">
        <v>827</v>
      </c>
      <c r="C397" s="9" t="s">
        <v>828</v>
      </c>
      <c r="D397" s="9" t="s">
        <v>43</v>
      </c>
      <c r="E397" s="9" t="s">
        <v>17</v>
      </c>
      <c r="F397" s="10">
        <v>36847</v>
      </c>
      <c r="G397" s="7">
        <f t="shared" ca="1" si="24"/>
        <v>25.472222222222221</v>
      </c>
      <c r="H397" s="9" t="s">
        <v>18</v>
      </c>
      <c r="I397" s="9" t="s">
        <v>46</v>
      </c>
      <c r="J397" s="9" t="s">
        <v>26</v>
      </c>
      <c r="K397" s="9" t="s">
        <v>21</v>
      </c>
      <c r="L397" s="10">
        <v>45119</v>
      </c>
      <c r="M397" s="9">
        <f t="shared" ca="1" si="25"/>
        <v>2.8194444444444446</v>
      </c>
      <c r="N397" s="9">
        <v>13102</v>
      </c>
      <c r="O397" s="9" t="str">
        <f t="shared" si="26"/>
        <v>يوليو</v>
      </c>
      <c r="P397" s="7" t="str">
        <f t="shared" si="27"/>
        <v>راتب طبيعي</v>
      </c>
    </row>
    <row r="398" spans="1:16" x14ac:dyDescent="0.3">
      <c r="A398" s="7">
        <v>56317</v>
      </c>
      <c r="B398" s="7" t="s">
        <v>829</v>
      </c>
      <c r="C398" s="7" t="s">
        <v>830</v>
      </c>
      <c r="D398" s="7" t="s">
        <v>66</v>
      </c>
      <c r="E398" s="7" t="s">
        <v>35</v>
      </c>
      <c r="F398" s="8">
        <v>32286</v>
      </c>
      <c r="G398" s="7">
        <f t="shared" ca="1" si="24"/>
        <v>37.955555555555556</v>
      </c>
      <c r="H398" s="7" t="s">
        <v>18</v>
      </c>
      <c r="I398" s="7" t="s">
        <v>46</v>
      </c>
      <c r="J398" s="7" t="s">
        <v>20</v>
      </c>
      <c r="K398" s="7" t="s">
        <v>31</v>
      </c>
      <c r="L398" s="8">
        <v>45120</v>
      </c>
      <c r="M398" s="7">
        <f t="shared" ca="1" si="25"/>
        <v>2.8166666666666669</v>
      </c>
      <c r="N398" s="7">
        <v>11719</v>
      </c>
      <c r="O398" s="7" t="str">
        <f t="shared" si="26"/>
        <v>يوليو</v>
      </c>
      <c r="P398" s="7" t="str">
        <f t="shared" si="27"/>
        <v>راتب طبيعي</v>
      </c>
    </row>
    <row r="399" spans="1:16" x14ac:dyDescent="0.3">
      <c r="A399" s="9">
        <v>55447</v>
      </c>
      <c r="B399" s="9" t="s">
        <v>831</v>
      </c>
      <c r="C399" s="9" t="s">
        <v>832</v>
      </c>
      <c r="D399" s="9" t="s">
        <v>43</v>
      </c>
      <c r="E399" s="9" t="s">
        <v>35</v>
      </c>
      <c r="F399" s="10">
        <v>29985</v>
      </c>
      <c r="G399" s="7">
        <f t="shared" ca="1" si="24"/>
        <v>44.261111111111113</v>
      </c>
      <c r="H399" s="9" t="s">
        <v>36</v>
      </c>
      <c r="I399" s="9" t="s">
        <v>25</v>
      </c>
      <c r="J399" s="9" t="s">
        <v>31</v>
      </c>
      <c r="K399" s="9" t="s">
        <v>20</v>
      </c>
      <c r="L399" s="10">
        <v>45121</v>
      </c>
      <c r="M399" s="9">
        <f t="shared" ca="1" si="25"/>
        <v>2.8138888888888891</v>
      </c>
      <c r="N399" s="9">
        <v>5669</v>
      </c>
      <c r="O399" s="9" t="str">
        <f t="shared" si="26"/>
        <v>يوليو</v>
      </c>
      <c r="P399" s="7" t="str">
        <f t="shared" si="27"/>
        <v>راتب عالي</v>
      </c>
    </row>
    <row r="400" spans="1:16" x14ac:dyDescent="0.3">
      <c r="A400" s="7">
        <v>50919</v>
      </c>
      <c r="B400" s="7" t="s">
        <v>833</v>
      </c>
      <c r="C400" s="7" t="s">
        <v>834</v>
      </c>
      <c r="D400" s="7" t="s">
        <v>53</v>
      </c>
      <c r="E400" s="7" t="s">
        <v>17</v>
      </c>
      <c r="F400" s="8">
        <v>31268</v>
      </c>
      <c r="G400" s="7">
        <f t="shared" ca="1" si="24"/>
        <v>40.744444444444447</v>
      </c>
      <c r="H400" s="7" t="s">
        <v>18</v>
      </c>
      <c r="I400" s="7" t="s">
        <v>25</v>
      </c>
      <c r="J400" s="7" t="s">
        <v>27</v>
      </c>
      <c r="K400" s="7" t="s">
        <v>21</v>
      </c>
      <c r="L400" s="8">
        <v>45122</v>
      </c>
      <c r="M400" s="7">
        <f t="shared" ca="1" si="25"/>
        <v>2.8111111111111109</v>
      </c>
      <c r="N400" s="7">
        <v>4426</v>
      </c>
      <c r="O400" s="7" t="str">
        <f t="shared" si="26"/>
        <v>يوليو</v>
      </c>
      <c r="P400" s="7" t="str">
        <f t="shared" si="27"/>
        <v>راتب عالي</v>
      </c>
    </row>
    <row r="401" spans="1:16" x14ac:dyDescent="0.3">
      <c r="A401" s="9">
        <v>54241</v>
      </c>
      <c r="B401" s="9" t="s">
        <v>835</v>
      </c>
      <c r="C401" s="9" t="s">
        <v>836</v>
      </c>
      <c r="D401" s="9" t="s">
        <v>53</v>
      </c>
      <c r="E401" s="9" t="s">
        <v>17</v>
      </c>
      <c r="F401" s="10">
        <v>31802</v>
      </c>
      <c r="G401" s="7">
        <f t="shared" ca="1" si="24"/>
        <v>39.283333333333331</v>
      </c>
      <c r="H401" s="9" t="s">
        <v>36</v>
      </c>
      <c r="I401" s="9" t="s">
        <v>19</v>
      </c>
      <c r="J401" s="9" t="s">
        <v>27</v>
      </c>
      <c r="K401" s="9" t="s">
        <v>27</v>
      </c>
      <c r="L401" s="10">
        <v>45123</v>
      </c>
      <c r="M401" s="9">
        <f t="shared" ca="1" si="25"/>
        <v>2.8083333333333331</v>
      </c>
      <c r="N401" s="9">
        <v>24066</v>
      </c>
      <c r="O401" s="9" t="str">
        <f t="shared" si="26"/>
        <v>يوليو</v>
      </c>
      <c r="P401" s="7" t="str">
        <f t="shared" si="27"/>
        <v>راتب طبيعي</v>
      </c>
    </row>
    <row r="402" spans="1:16" x14ac:dyDescent="0.3">
      <c r="A402" s="7">
        <v>57535</v>
      </c>
      <c r="B402" s="7" t="s">
        <v>837</v>
      </c>
      <c r="C402" s="7" t="s">
        <v>838</v>
      </c>
      <c r="D402" s="7" t="s">
        <v>53</v>
      </c>
      <c r="E402" s="7" t="s">
        <v>17</v>
      </c>
      <c r="F402" s="8">
        <v>37789</v>
      </c>
      <c r="G402" s="7">
        <f t="shared" ca="1" si="24"/>
        <v>22.888888888888889</v>
      </c>
      <c r="H402" s="7" t="s">
        <v>18</v>
      </c>
      <c r="I402" s="7" t="s">
        <v>25</v>
      </c>
      <c r="J402" s="7" t="s">
        <v>27</v>
      </c>
      <c r="K402" s="7" t="s">
        <v>21</v>
      </c>
      <c r="L402" s="8">
        <v>45124</v>
      </c>
      <c r="M402" s="7">
        <f t="shared" ca="1" si="25"/>
        <v>2.8055555555555554</v>
      </c>
      <c r="N402" s="7">
        <v>5314</v>
      </c>
      <c r="O402" s="7" t="str">
        <f t="shared" si="26"/>
        <v>يوليو</v>
      </c>
      <c r="P402" s="7" t="str">
        <f t="shared" si="27"/>
        <v>راتب عالي</v>
      </c>
    </row>
    <row r="403" spans="1:16" x14ac:dyDescent="0.3">
      <c r="A403" s="9">
        <v>52774</v>
      </c>
      <c r="B403" s="9" t="s">
        <v>839</v>
      </c>
      <c r="C403" s="9" t="s">
        <v>840</v>
      </c>
      <c r="D403" s="9" t="s">
        <v>43</v>
      </c>
      <c r="E403" s="9" t="s">
        <v>35</v>
      </c>
      <c r="F403" s="10">
        <v>36360</v>
      </c>
      <c r="G403" s="7">
        <f t="shared" ca="1" si="24"/>
        <v>26.8</v>
      </c>
      <c r="H403" s="9" t="s">
        <v>36</v>
      </c>
      <c r="I403" s="9" t="s">
        <v>25</v>
      </c>
      <c r="J403" s="9" t="s">
        <v>26</v>
      </c>
      <c r="K403" s="9" t="s">
        <v>20</v>
      </c>
      <c r="L403" s="10">
        <v>45125</v>
      </c>
      <c r="M403" s="9">
        <f t="shared" ca="1" si="25"/>
        <v>2.8027777777777776</v>
      </c>
      <c r="N403" s="9">
        <v>3689</v>
      </c>
      <c r="O403" s="9" t="str">
        <f t="shared" si="26"/>
        <v>يوليو</v>
      </c>
      <c r="P403" s="7" t="str">
        <f t="shared" si="27"/>
        <v>راتب عالي</v>
      </c>
    </row>
    <row r="404" spans="1:16" x14ac:dyDescent="0.3">
      <c r="A404" s="7">
        <v>55806</v>
      </c>
      <c r="B404" s="7" t="s">
        <v>841</v>
      </c>
      <c r="C404" s="7" t="s">
        <v>842</v>
      </c>
      <c r="D404" s="7" t="s">
        <v>95</v>
      </c>
      <c r="E404" s="7" t="s">
        <v>35</v>
      </c>
      <c r="F404" s="8">
        <v>36298</v>
      </c>
      <c r="G404" s="7">
        <f t="shared" ca="1" si="24"/>
        <v>26.969444444444445</v>
      </c>
      <c r="H404" s="7" t="s">
        <v>18</v>
      </c>
      <c r="I404" s="7" t="s">
        <v>25</v>
      </c>
      <c r="J404" s="7" t="s">
        <v>31</v>
      </c>
      <c r="K404" s="7" t="s">
        <v>37</v>
      </c>
      <c r="L404" s="8">
        <v>45126</v>
      </c>
      <c r="M404" s="7">
        <f t="shared" ca="1" si="25"/>
        <v>2.8</v>
      </c>
      <c r="N404" s="7">
        <v>5523</v>
      </c>
      <c r="O404" s="7" t="str">
        <f t="shared" si="26"/>
        <v>يوليو</v>
      </c>
      <c r="P404" s="7" t="str">
        <f t="shared" si="27"/>
        <v>راتب عالي</v>
      </c>
    </row>
    <row r="405" spans="1:16" x14ac:dyDescent="0.3">
      <c r="A405" s="9">
        <v>50660</v>
      </c>
      <c r="B405" s="9" t="s">
        <v>843</v>
      </c>
      <c r="C405" s="9" t="s">
        <v>844</v>
      </c>
      <c r="D405" s="9" t="s">
        <v>43</v>
      </c>
      <c r="E405" s="9" t="s">
        <v>17</v>
      </c>
      <c r="F405" s="10">
        <v>37949</v>
      </c>
      <c r="G405" s="7">
        <f t="shared" ca="1" si="24"/>
        <v>22.452777777777779</v>
      </c>
      <c r="H405" s="9" t="s">
        <v>36</v>
      </c>
      <c r="I405" s="9" t="s">
        <v>25</v>
      </c>
      <c r="J405" s="9" t="s">
        <v>31</v>
      </c>
      <c r="K405" s="9" t="s">
        <v>20</v>
      </c>
      <c r="L405" s="10">
        <v>45127</v>
      </c>
      <c r="M405" s="9">
        <f t="shared" ca="1" si="25"/>
        <v>2.7972222222222221</v>
      </c>
      <c r="N405" s="9">
        <v>6377</v>
      </c>
      <c r="O405" s="9" t="str">
        <f t="shared" si="26"/>
        <v>يوليو</v>
      </c>
      <c r="P405" s="7" t="str">
        <f t="shared" si="27"/>
        <v>راتب طبيعي</v>
      </c>
    </row>
    <row r="406" spans="1:16" x14ac:dyDescent="0.3">
      <c r="A406" s="7">
        <v>59843</v>
      </c>
      <c r="B406" s="7" t="s">
        <v>845</v>
      </c>
      <c r="C406" s="7" t="s">
        <v>846</v>
      </c>
      <c r="D406" s="7" t="s">
        <v>146</v>
      </c>
      <c r="E406" s="7" t="s">
        <v>35</v>
      </c>
      <c r="F406" s="8">
        <v>36681</v>
      </c>
      <c r="G406" s="7">
        <f t="shared" ca="1" si="24"/>
        <v>25.925000000000001</v>
      </c>
      <c r="H406" s="7" t="s">
        <v>18</v>
      </c>
      <c r="I406" s="7" t="s">
        <v>19</v>
      </c>
      <c r="J406" s="7" t="s">
        <v>31</v>
      </c>
      <c r="K406" s="7" t="s">
        <v>27</v>
      </c>
      <c r="L406" s="8">
        <v>45128</v>
      </c>
      <c r="M406" s="7">
        <f t="shared" ca="1" si="25"/>
        <v>2.7944444444444443</v>
      </c>
      <c r="N406" s="7">
        <v>23897</v>
      </c>
      <c r="O406" s="7" t="str">
        <f t="shared" si="26"/>
        <v>يوليو</v>
      </c>
      <c r="P406" s="7" t="str">
        <f t="shared" si="27"/>
        <v>راتب طبيعي</v>
      </c>
    </row>
    <row r="407" spans="1:16" x14ac:dyDescent="0.3">
      <c r="A407" s="9">
        <v>52513</v>
      </c>
      <c r="B407" s="9" t="s">
        <v>847</v>
      </c>
      <c r="C407" s="9" t="s">
        <v>848</v>
      </c>
      <c r="D407" s="9" t="s">
        <v>40</v>
      </c>
      <c r="E407" s="9" t="s">
        <v>17</v>
      </c>
      <c r="F407" s="10">
        <v>31322</v>
      </c>
      <c r="G407" s="7">
        <f t="shared" ca="1" si="24"/>
        <v>40.597222222222221</v>
      </c>
      <c r="H407" s="9" t="s">
        <v>18</v>
      </c>
      <c r="I407" s="9" t="s">
        <v>25</v>
      </c>
      <c r="J407" s="9" t="s">
        <v>27</v>
      </c>
      <c r="K407" s="9" t="s">
        <v>27</v>
      </c>
      <c r="L407" s="10">
        <v>45129</v>
      </c>
      <c r="M407" s="9">
        <f t="shared" ca="1" si="25"/>
        <v>2.7916666666666665</v>
      </c>
      <c r="N407" s="9">
        <v>4198</v>
      </c>
      <c r="O407" s="9" t="str">
        <f t="shared" si="26"/>
        <v>يوليو</v>
      </c>
      <c r="P407" s="7" t="str">
        <f t="shared" si="27"/>
        <v>راتب عالي</v>
      </c>
    </row>
    <row r="408" spans="1:16" x14ac:dyDescent="0.3">
      <c r="A408" s="7">
        <v>51930</v>
      </c>
      <c r="B408" s="7" t="s">
        <v>849</v>
      </c>
      <c r="C408" s="7" t="s">
        <v>850</v>
      </c>
      <c r="D408" s="7" t="s">
        <v>16</v>
      </c>
      <c r="E408" s="7" t="s">
        <v>17</v>
      </c>
      <c r="F408" s="8">
        <v>35332</v>
      </c>
      <c r="G408" s="7">
        <f t="shared" ca="1" si="24"/>
        <v>29.619444444444444</v>
      </c>
      <c r="H408" s="7" t="s">
        <v>18</v>
      </c>
      <c r="I408" s="7" t="s">
        <v>46</v>
      </c>
      <c r="J408" s="7" t="s">
        <v>21</v>
      </c>
      <c r="K408" s="7" t="s">
        <v>37</v>
      </c>
      <c r="L408" s="8">
        <v>45130</v>
      </c>
      <c r="M408" s="7">
        <f t="shared" ca="1" si="25"/>
        <v>2.7888888888888888</v>
      </c>
      <c r="N408" s="7">
        <v>13732</v>
      </c>
      <c r="O408" s="7" t="str">
        <f t="shared" si="26"/>
        <v>يوليو</v>
      </c>
      <c r="P408" s="7" t="str">
        <f t="shared" si="27"/>
        <v>راتب طبيعي</v>
      </c>
    </row>
    <row r="409" spans="1:16" x14ac:dyDescent="0.3">
      <c r="A409" s="9">
        <v>56227</v>
      </c>
      <c r="B409" s="9" t="s">
        <v>851</v>
      </c>
      <c r="C409" s="9" t="s">
        <v>852</v>
      </c>
      <c r="D409" s="9" t="s">
        <v>16</v>
      </c>
      <c r="E409" s="9" t="s">
        <v>35</v>
      </c>
      <c r="F409" s="10">
        <v>35978</v>
      </c>
      <c r="G409" s="7">
        <f t="shared" ca="1" si="24"/>
        <v>27.847222222222221</v>
      </c>
      <c r="H409" s="9" t="s">
        <v>36</v>
      </c>
      <c r="I409" s="9" t="s">
        <v>25</v>
      </c>
      <c r="J409" s="9" t="s">
        <v>31</v>
      </c>
      <c r="K409" s="9" t="s">
        <v>31</v>
      </c>
      <c r="L409" s="10">
        <v>45131</v>
      </c>
      <c r="M409" s="9">
        <f t="shared" ca="1" si="25"/>
        <v>2.786111111111111</v>
      </c>
      <c r="N409" s="9">
        <v>5576</v>
      </c>
      <c r="O409" s="9" t="str">
        <f t="shared" si="26"/>
        <v>يوليو</v>
      </c>
      <c r="P409" s="7" t="str">
        <f t="shared" si="27"/>
        <v>راتب عالي</v>
      </c>
    </row>
    <row r="410" spans="1:16" x14ac:dyDescent="0.3">
      <c r="A410" s="7">
        <v>58329</v>
      </c>
      <c r="B410" s="7" t="s">
        <v>853</v>
      </c>
      <c r="C410" s="7" t="s">
        <v>854</v>
      </c>
      <c r="D410" s="7" t="s">
        <v>40</v>
      </c>
      <c r="E410" s="7" t="s">
        <v>17</v>
      </c>
      <c r="F410" s="8">
        <v>34642</v>
      </c>
      <c r="G410" s="7">
        <f t="shared" ca="1" si="24"/>
        <v>31.508333333333333</v>
      </c>
      <c r="H410" s="7" t="s">
        <v>18</v>
      </c>
      <c r="I410" s="7" t="s">
        <v>46</v>
      </c>
      <c r="J410" s="7" t="s">
        <v>27</v>
      </c>
      <c r="K410" s="7" t="s">
        <v>37</v>
      </c>
      <c r="L410" s="8">
        <v>45132</v>
      </c>
      <c r="M410" s="7">
        <f t="shared" ca="1" si="25"/>
        <v>2.7833333333333332</v>
      </c>
      <c r="N410" s="7">
        <v>10531</v>
      </c>
      <c r="O410" s="7" t="str">
        <f t="shared" si="26"/>
        <v>يوليو</v>
      </c>
      <c r="P410" s="7" t="str">
        <f t="shared" si="27"/>
        <v>راتب طبيعي</v>
      </c>
    </row>
    <row r="411" spans="1:16" x14ac:dyDescent="0.3">
      <c r="A411" s="9">
        <v>58688</v>
      </c>
      <c r="B411" s="9" t="s">
        <v>855</v>
      </c>
      <c r="C411" s="9" t="s">
        <v>856</v>
      </c>
      <c r="D411" s="9" t="s">
        <v>95</v>
      </c>
      <c r="E411" s="9" t="s">
        <v>17</v>
      </c>
      <c r="F411" s="10">
        <v>36289</v>
      </c>
      <c r="G411" s="7">
        <f t="shared" ca="1" si="24"/>
        <v>26.994444444444444</v>
      </c>
      <c r="H411" s="9" t="s">
        <v>36</v>
      </c>
      <c r="I411" s="9" t="s">
        <v>25</v>
      </c>
      <c r="J411" s="9" t="s">
        <v>27</v>
      </c>
      <c r="K411" s="9" t="s">
        <v>27</v>
      </c>
      <c r="L411" s="10">
        <v>45133</v>
      </c>
      <c r="M411" s="9">
        <f t="shared" ca="1" si="25"/>
        <v>2.7805555555555554</v>
      </c>
      <c r="N411" s="9">
        <v>4048</v>
      </c>
      <c r="O411" s="9" t="str">
        <f t="shared" si="26"/>
        <v>يوليو</v>
      </c>
      <c r="P411" s="7" t="str">
        <f t="shared" si="27"/>
        <v>راتب عالي</v>
      </c>
    </row>
    <row r="412" spans="1:16" x14ac:dyDescent="0.3">
      <c r="A412" s="7">
        <v>58599</v>
      </c>
      <c r="B412" s="7" t="s">
        <v>857</v>
      </c>
      <c r="C412" s="7" t="s">
        <v>858</v>
      </c>
      <c r="D412" s="7" t="s">
        <v>30</v>
      </c>
      <c r="E412" s="7" t="s">
        <v>17</v>
      </c>
      <c r="F412" s="8">
        <v>33762</v>
      </c>
      <c r="G412" s="7">
        <f t="shared" ca="1" si="24"/>
        <v>33.916666666666664</v>
      </c>
      <c r="H412" s="7" t="s">
        <v>18</v>
      </c>
      <c r="I412" s="7" t="s">
        <v>25</v>
      </c>
      <c r="J412" s="7" t="s">
        <v>26</v>
      </c>
      <c r="K412" s="7" t="s">
        <v>27</v>
      </c>
      <c r="L412" s="8">
        <v>45134</v>
      </c>
      <c r="M412" s="7">
        <f t="shared" ca="1" si="25"/>
        <v>2.7777777777777777</v>
      </c>
      <c r="N412" s="7">
        <v>6559</v>
      </c>
      <c r="O412" s="7" t="str">
        <f t="shared" si="26"/>
        <v>يوليو</v>
      </c>
      <c r="P412" s="7" t="str">
        <f t="shared" si="27"/>
        <v>راتب طبيعي</v>
      </c>
    </row>
    <row r="413" spans="1:16" x14ac:dyDescent="0.3">
      <c r="A413" s="9">
        <v>54201</v>
      </c>
      <c r="B413" s="9" t="s">
        <v>859</v>
      </c>
      <c r="C413" s="9" t="s">
        <v>860</v>
      </c>
      <c r="D413" s="9" t="s">
        <v>34</v>
      </c>
      <c r="E413" s="9" t="s">
        <v>17</v>
      </c>
      <c r="F413" s="10">
        <v>30902</v>
      </c>
      <c r="G413" s="7">
        <f t="shared" ca="1" si="24"/>
        <v>41.74722222222222</v>
      </c>
      <c r="H413" s="9" t="s">
        <v>18</v>
      </c>
      <c r="I413" s="9" t="s">
        <v>46</v>
      </c>
      <c r="J413" s="9" t="s">
        <v>27</v>
      </c>
      <c r="K413" s="9" t="s">
        <v>37</v>
      </c>
      <c r="L413" s="10">
        <v>45135</v>
      </c>
      <c r="M413" s="9">
        <f t="shared" ca="1" si="25"/>
        <v>2.7749999999999999</v>
      </c>
      <c r="N413" s="9">
        <v>13249</v>
      </c>
      <c r="O413" s="9" t="str">
        <f t="shared" si="26"/>
        <v>يوليو</v>
      </c>
      <c r="P413" s="7" t="str">
        <f t="shared" si="27"/>
        <v>راتب طبيعي</v>
      </c>
    </row>
    <row r="414" spans="1:16" x14ac:dyDescent="0.3">
      <c r="A414" s="7">
        <v>51199</v>
      </c>
      <c r="B414" s="7" t="s">
        <v>861</v>
      </c>
      <c r="C414" s="7" t="s">
        <v>862</v>
      </c>
      <c r="D414" s="7" t="s">
        <v>40</v>
      </c>
      <c r="E414" s="7" t="s">
        <v>17</v>
      </c>
      <c r="F414" s="8">
        <v>36252</v>
      </c>
      <c r="G414" s="7">
        <f t="shared" ca="1" si="24"/>
        <v>27.097222222222221</v>
      </c>
      <c r="H414" s="7" t="s">
        <v>18</v>
      </c>
      <c r="I414" s="7" t="s">
        <v>25</v>
      </c>
      <c r="J414" s="7" t="s">
        <v>21</v>
      </c>
      <c r="K414" s="7" t="s">
        <v>26</v>
      </c>
      <c r="L414" s="8">
        <v>45136</v>
      </c>
      <c r="M414" s="7">
        <f t="shared" ca="1" si="25"/>
        <v>2.7722222222222221</v>
      </c>
      <c r="N414" s="7">
        <v>5934</v>
      </c>
      <c r="O414" s="7" t="str">
        <f t="shared" si="26"/>
        <v>يوليو</v>
      </c>
      <c r="P414" s="7" t="str">
        <f t="shared" si="27"/>
        <v>راتب عالي</v>
      </c>
    </row>
    <row r="415" spans="1:16" x14ac:dyDescent="0.3">
      <c r="A415" s="9">
        <v>53936</v>
      </c>
      <c r="B415" s="9" t="s">
        <v>863</v>
      </c>
      <c r="C415" s="9" t="s">
        <v>864</v>
      </c>
      <c r="D415" s="9" t="s">
        <v>146</v>
      </c>
      <c r="E415" s="9" t="s">
        <v>35</v>
      </c>
      <c r="F415" s="10">
        <v>31089</v>
      </c>
      <c r="G415" s="7">
        <f t="shared" ca="1" si="24"/>
        <v>41.238888888888887</v>
      </c>
      <c r="H415" s="9" t="s">
        <v>36</v>
      </c>
      <c r="I415" s="9" t="s">
        <v>46</v>
      </c>
      <c r="J415" s="9" t="s">
        <v>26</v>
      </c>
      <c r="K415" s="9" t="s">
        <v>31</v>
      </c>
      <c r="L415" s="10">
        <v>45137</v>
      </c>
      <c r="M415" s="9">
        <f t="shared" ca="1" si="25"/>
        <v>2.7694444444444444</v>
      </c>
      <c r="N415" s="9">
        <v>13448</v>
      </c>
      <c r="O415" s="9" t="str">
        <f t="shared" si="26"/>
        <v>يوليو</v>
      </c>
      <c r="P415" s="7" t="str">
        <f t="shared" si="27"/>
        <v>راتب طبيعي</v>
      </c>
    </row>
    <row r="416" spans="1:16" x14ac:dyDescent="0.3">
      <c r="A416" s="7">
        <v>55305</v>
      </c>
      <c r="B416" s="7" t="s">
        <v>865</v>
      </c>
      <c r="C416" s="7" t="s">
        <v>866</v>
      </c>
      <c r="D416" s="7" t="s">
        <v>43</v>
      </c>
      <c r="E416" s="7" t="s">
        <v>35</v>
      </c>
      <c r="F416" s="8">
        <v>30592</v>
      </c>
      <c r="G416" s="7">
        <f t="shared" ca="1" si="24"/>
        <v>42.594444444444441</v>
      </c>
      <c r="H416" s="7" t="s">
        <v>18</v>
      </c>
      <c r="I416" s="7" t="s">
        <v>25</v>
      </c>
      <c r="J416" s="7" t="s">
        <v>27</v>
      </c>
      <c r="K416" s="7" t="s">
        <v>26</v>
      </c>
      <c r="L416" s="8">
        <v>45138</v>
      </c>
      <c r="M416" s="7">
        <f t="shared" ca="1" si="25"/>
        <v>2.7694444444444444</v>
      </c>
      <c r="N416" s="7">
        <v>6022</v>
      </c>
      <c r="O416" s="7" t="str">
        <f t="shared" si="26"/>
        <v>يوليو</v>
      </c>
      <c r="P416" s="7" t="str">
        <f t="shared" si="27"/>
        <v>راتب طبيعي</v>
      </c>
    </row>
    <row r="417" spans="1:16" x14ac:dyDescent="0.3">
      <c r="A417" s="9">
        <v>53896</v>
      </c>
      <c r="B417" s="9" t="s">
        <v>867</v>
      </c>
      <c r="C417" s="9" t="s">
        <v>868</v>
      </c>
      <c r="D417" s="9" t="s">
        <v>40</v>
      </c>
      <c r="E417" s="9" t="s">
        <v>35</v>
      </c>
      <c r="F417" s="10">
        <v>33321</v>
      </c>
      <c r="G417" s="7">
        <f t="shared" ca="1" si="24"/>
        <v>35.119444444444447</v>
      </c>
      <c r="H417" s="9" t="s">
        <v>18</v>
      </c>
      <c r="I417" s="9" t="s">
        <v>25</v>
      </c>
      <c r="J417" s="9" t="s">
        <v>27</v>
      </c>
      <c r="K417" s="9" t="s">
        <v>37</v>
      </c>
      <c r="L417" s="10">
        <v>45139</v>
      </c>
      <c r="M417" s="9">
        <f t="shared" ca="1" si="25"/>
        <v>2.7666666666666666</v>
      </c>
      <c r="N417" s="9">
        <v>3288</v>
      </c>
      <c r="O417" s="9" t="str">
        <f t="shared" si="26"/>
        <v>أغسطس</v>
      </c>
      <c r="P417" s="7" t="str">
        <f t="shared" si="27"/>
        <v>راتب عالي</v>
      </c>
    </row>
    <row r="418" spans="1:16" x14ac:dyDescent="0.3">
      <c r="A418" s="7">
        <v>57853</v>
      </c>
      <c r="B418" s="7" t="s">
        <v>869</v>
      </c>
      <c r="C418" s="7" t="s">
        <v>870</v>
      </c>
      <c r="D418" s="7" t="s">
        <v>43</v>
      </c>
      <c r="E418" s="7" t="s">
        <v>35</v>
      </c>
      <c r="F418" s="8">
        <v>33156</v>
      </c>
      <c r="G418" s="7">
        <f t="shared" ca="1" si="24"/>
        <v>35.575000000000003</v>
      </c>
      <c r="H418" s="7" t="s">
        <v>36</v>
      </c>
      <c r="I418" s="7" t="s">
        <v>19</v>
      </c>
      <c r="J418" s="7" t="s">
        <v>21</v>
      </c>
      <c r="K418" s="7" t="s">
        <v>31</v>
      </c>
      <c r="L418" s="8">
        <v>45140</v>
      </c>
      <c r="M418" s="7">
        <f t="shared" ca="1" si="25"/>
        <v>2.7638888888888888</v>
      </c>
      <c r="N418" s="7">
        <v>26028</v>
      </c>
      <c r="O418" s="7" t="str">
        <f t="shared" si="26"/>
        <v>أغسطس</v>
      </c>
      <c r="P418" s="7" t="str">
        <f t="shared" si="27"/>
        <v>راتب طبيعي</v>
      </c>
    </row>
    <row r="419" spans="1:16" x14ac:dyDescent="0.3">
      <c r="A419" s="9">
        <v>54519</v>
      </c>
      <c r="B419" s="9" t="s">
        <v>871</v>
      </c>
      <c r="C419" s="9" t="s">
        <v>872</v>
      </c>
      <c r="D419" s="9" t="s">
        <v>66</v>
      </c>
      <c r="E419" s="9" t="s">
        <v>17</v>
      </c>
      <c r="F419" s="10">
        <v>34062</v>
      </c>
      <c r="G419" s="7">
        <f t="shared" ca="1" si="24"/>
        <v>33.094444444444441</v>
      </c>
      <c r="H419" s="9" t="s">
        <v>36</v>
      </c>
      <c r="I419" s="9" t="s">
        <v>46</v>
      </c>
      <c r="J419" s="9" t="s">
        <v>20</v>
      </c>
      <c r="K419" s="9" t="s">
        <v>26</v>
      </c>
      <c r="L419" s="10">
        <v>45141</v>
      </c>
      <c r="M419" s="9">
        <f t="shared" ca="1" si="25"/>
        <v>2.7611111111111111</v>
      </c>
      <c r="N419" s="9">
        <v>13169</v>
      </c>
      <c r="O419" s="9" t="str">
        <f t="shared" si="26"/>
        <v>أغسطس</v>
      </c>
      <c r="P419" s="7" t="str">
        <f t="shared" si="27"/>
        <v>راتب طبيعي</v>
      </c>
    </row>
    <row r="420" spans="1:16" x14ac:dyDescent="0.3">
      <c r="A420" s="7">
        <v>52652</v>
      </c>
      <c r="B420" s="7" t="s">
        <v>873</v>
      </c>
      <c r="C420" s="7" t="s">
        <v>874</v>
      </c>
      <c r="D420" s="7" t="s">
        <v>43</v>
      </c>
      <c r="E420" s="7" t="s">
        <v>35</v>
      </c>
      <c r="F420" s="8">
        <v>36942</v>
      </c>
      <c r="G420" s="7">
        <f t="shared" ca="1" si="24"/>
        <v>25.213888888888889</v>
      </c>
      <c r="H420" s="7" t="s">
        <v>36</v>
      </c>
      <c r="I420" s="7" t="s">
        <v>25</v>
      </c>
      <c r="J420" s="7" t="s">
        <v>26</v>
      </c>
      <c r="K420" s="7" t="s">
        <v>20</v>
      </c>
      <c r="L420" s="8">
        <v>45142</v>
      </c>
      <c r="M420" s="7">
        <f t="shared" ca="1" si="25"/>
        <v>2.7583333333333333</v>
      </c>
      <c r="N420" s="7">
        <v>4109</v>
      </c>
      <c r="O420" s="7" t="str">
        <f t="shared" si="26"/>
        <v>أغسطس</v>
      </c>
      <c r="P420" s="7" t="str">
        <f t="shared" si="27"/>
        <v>راتب عالي</v>
      </c>
    </row>
    <row r="421" spans="1:16" x14ac:dyDescent="0.3">
      <c r="A421" s="9">
        <v>56006</v>
      </c>
      <c r="B421" s="9" t="s">
        <v>875</v>
      </c>
      <c r="C421" s="9" t="s">
        <v>876</v>
      </c>
      <c r="D421" s="9" t="s">
        <v>43</v>
      </c>
      <c r="E421" s="9" t="s">
        <v>35</v>
      </c>
      <c r="F421" s="10">
        <v>35083</v>
      </c>
      <c r="G421" s="7">
        <f t="shared" ca="1" si="24"/>
        <v>30.3</v>
      </c>
      <c r="H421" s="9" t="s">
        <v>18</v>
      </c>
      <c r="I421" s="9" t="s">
        <v>25</v>
      </c>
      <c r="J421" s="9" t="s">
        <v>21</v>
      </c>
      <c r="K421" s="9" t="s">
        <v>20</v>
      </c>
      <c r="L421" s="10">
        <v>45143</v>
      </c>
      <c r="M421" s="9">
        <f t="shared" ca="1" si="25"/>
        <v>2.7555555555555555</v>
      </c>
      <c r="N421" s="9">
        <v>3707</v>
      </c>
      <c r="O421" s="9" t="str">
        <f t="shared" si="26"/>
        <v>أغسطس</v>
      </c>
      <c r="P421" s="7" t="str">
        <f t="shared" si="27"/>
        <v>راتب عالي</v>
      </c>
    </row>
    <row r="422" spans="1:16" x14ac:dyDescent="0.3">
      <c r="A422" s="7">
        <v>53535</v>
      </c>
      <c r="B422" s="7" t="s">
        <v>877</v>
      </c>
      <c r="C422" s="7" t="s">
        <v>878</v>
      </c>
      <c r="D422" s="7" t="s">
        <v>16</v>
      </c>
      <c r="E422" s="7" t="s">
        <v>35</v>
      </c>
      <c r="F422" s="8">
        <v>30678</v>
      </c>
      <c r="G422" s="7">
        <f t="shared" ca="1" si="24"/>
        <v>42.358333333333334</v>
      </c>
      <c r="H422" s="7" t="s">
        <v>36</v>
      </c>
      <c r="I422" s="7" t="s">
        <v>46</v>
      </c>
      <c r="J422" s="7" t="s">
        <v>21</v>
      </c>
      <c r="K422" s="7" t="s">
        <v>20</v>
      </c>
      <c r="L422" s="8">
        <v>45144</v>
      </c>
      <c r="M422" s="7">
        <f t="shared" ca="1" si="25"/>
        <v>2.7527777777777778</v>
      </c>
      <c r="N422" s="7">
        <v>13096</v>
      </c>
      <c r="O422" s="7" t="str">
        <f t="shared" si="26"/>
        <v>أغسطس</v>
      </c>
      <c r="P422" s="7" t="str">
        <f t="shared" si="27"/>
        <v>راتب طبيعي</v>
      </c>
    </row>
    <row r="423" spans="1:16" x14ac:dyDescent="0.3">
      <c r="A423" s="9">
        <v>51399</v>
      </c>
      <c r="B423" s="9" t="s">
        <v>879</v>
      </c>
      <c r="C423" s="9" t="s">
        <v>880</v>
      </c>
      <c r="D423" s="9" t="s">
        <v>24</v>
      </c>
      <c r="E423" s="9" t="s">
        <v>17</v>
      </c>
      <c r="F423" s="10">
        <v>34175</v>
      </c>
      <c r="G423" s="7">
        <f t="shared" ca="1" si="24"/>
        <v>32.783333333333331</v>
      </c>
      <c r="H423" s="9" t="s">
        <v>36</v>
      </c>
      <c r="I423" s="9" t="s">
        <v>25</v>
      </c>
      <c r="J423" s="9" t="s">
        <v>31</v>
      </c>
      <c r="K423" s="9" t="s">
        <v>20</v>
      </c>
      <c r="L423" s="10">
        <v>45145</v>
      </c>
      <c r="M423" s="9">
        <f t="shared" ca="1" si="25"/>
        <v>2.75</v>
      </c>
      <c r="N423" s="9">
        <v>6083</v>
      </c>
      <c r="O423" s="9" t="str">
        <f t="shared" si="26"/>
        <v>أغسطس</v>
      </c>
      <c r="P423" s="7" t="str">
        <f t="shared" si="27"/>
        <v>راتب طبيعي</v>
      </c>
    </row>
    <row r="424" spans="1:16" x14ac:dyDescent="0.3">
      <c r="A424" s="7">
        <v>53419</v>
      </c>
      <c r="B424" s="7" t="s">
        <v>881</v>
      </c>
      <c r="C424" s="7" t="s">
        <v>882</v>
      </c>
      <c r="D424" s="7" t="s">
        <v>95</v>
      </c>
      <c r="E424" s="7" t="s">
        <v>17</v>
      </c>
      <c r="F424" s="8">
        <v>37912</v>
      </c>
      <c r="G424" s="7">
        <f t="shared" ca="1" si="24"/>
        <v>22.552777777777777</v>
      </c>
      <c r="H424" s="7" t="s">
        <v>18</v>
      </c>
      <c r="I424" s="7" t="s">
        <v>46</v>
      </c>
      <c r="J424" s="7" t="s">
        <v>20</v>
      </c>
      <c r="K424" s="7" t="s">
        <v>27</v>
      </c>
      <c r="L424" s="8">
        <v>45146</v>
      </c>
      <c r="M424" s="7">
        <f t="shared" ca="1" si="25"/>
        <v>2.7472222222222222</v>
      </c>
      <c r="N424" s="7">
        <v>11106</v>
      </c>
      <c r="O424" s="7" t="str">
        <f t="shared" si="26"/>
        <v>أغسطس</v>
      </c>
      <c r="P424" s="7" t="str">
        <f t="shared" si="27"/>
        <v>راتب طبيعي</v>
      </c>
    </row>
    <row r="425" spans="1:16" x14ac:dyDescent="0.3">
      <c r="A425" s="9">
        <v>57568</v>
      </c>
      <c r="B425" s="9" t="s">
        <v>883</v>
      </c>
      <c r="C425" s="9" t="s">
        <v>884</v>
      </c>
      <c r="D425" s="9" t="s">
        <v>43</v>
      </c>
      <c r="E425" s="9" t="s">
        <v>17</v>
      </c>
      <c r="F425" s="10">
        <v>35661</v>
      </c>
      <c r="G425" s="7">
        <f t="shared" ca="1" si="24"/>
        <v>28.716666666666665</v>
      </c>
      <c r="H425" s="9" t="s">
        <v>18</v>
      </c>
      <c r="I425" s="9" t="s">
        <v>25</v>
      </c>
      <c r="J425" s="9" t="s">
        <v>20</v>
      </c>
      <c r="K425" s="9" t="s">
        <v>26</v>
      </c>
      <c r="L425" s="10">
        <v>45147</v>
      </c>
      <c r="M425" s="9">
        <f t="shared" ca="1" si="25"/>
        <v>2.7444444444444445</v>
      </c>
      <c r="N425" s="9">
        <v>4556</v>
      </c>
      <c r="O425" s="9" t="str">
        <f t="shared" si="26"/>
        <v>أغسطس</v>
      </c>
      <c r="P425" s="7" t="str">
        <f t="shared" si="27"/>
        <v>راتب عالي</v>
      </c>
    </row>
    <row r="426" spans="1:16" x14ac:dyDescent="0.3">
      <c r="A426" s="7">
        <v>52544</v>
      </c>
      <c r="B426" s="7" t="s">
        <v>885</v>
      </c>
      <c r="C426" s="7" t="s">
        <v>886</v>
      </c>
      <c r="D426" s="7" t="s">
        <v>40</v>
      </c>
      <c r="E426" s="7" t="s">
        <v>17</v>
      </c>
      <c r="F426" s="8">
        <v>33431</v>
      </c>
      <c r="G426" s="7">
        <f t="shared" ca="1" si="24"/>
        <v>34.819444444444443</v>
      </c>
      <c r="H426" s="7" t="s">
        <v>18</v>
      </c>
      <c r="I426" s="7" t="s">
        <v>46</v>
      </c>
      <c r="J426" s="7" t="s">
        <v>26</v>
      </c>
      <c r="K426" s="7" t="s">
        <v>21</v>
      </c>
      <c r="L426" s="8">
        <v>45148</v>
      </c>
      <c r="M426" s="7">
        <f t="shared" ca="1" si="25"/>
        <v>2.7416666666666667</v>
      </c>
      <c r="N426" s="7">
        <v>11433</v>
      </c>
      <c r="O426" s="7" t="str">
        <f t="shared" si="26"/>
        <v>أغسطس</v>
      </c>
      <c r="P426" s="7" t="str">
        <f t="shared" si="27"/>
        <v>راتب طبيعي</v>
      </c>
    </row>
    <row r="427" spans="1:16" x14ac:dyDescent="0.3">
      <c r="A427" s="9">
        <v>56784</v>
      </c>
      <c r="B427" s="9" t="s">
        <v>887</v>
      </c>
      <c r="C427" s="9" t="s">
        <v>888</v>
      </c>
      <c r="D427" s="9" t="s">
        <v>66</v>
      </c>
      <c r="E427" s="9" t="s">
        <v>17</v>
      </c>
      <c r="F427" s="10">
        <v>32726</v>
      </c>
      <c r="G427" s="7">
        <f t="shared" ca="1" si="24"/>
        <v>36.75277777777778</v>
      </c>
      <c r="H427" s="9" t="s">
        <v>36</v>
      </c>
      <c r="I427" s="9" t="s">
        <v>46</v>
      </c>
      <c r="J427" s="9" t="s">
        <v>31</v>
      </c>
      <c r="K427" s="9" t="s">
        <v>27</v>
      </c>
      <c r="L427" s="10">
        <v>45149</v>
      </c>
      <c r="M427" s="9">
        <f t="shared" ca="1" si="25"/>
        <v>2.7388888888888889</v>
      </c>
      <c r="N427" s="9">
        <v>11004</v>
      </c>
      <c r="O427" s="9" t="str">
        <f t="shared" si="26"/>
        <v>أغسطس</v>
      </c>
      <c r="P427" s="7" t="str">
        <f t="shared" si="27"/>
        <v>راتب طبيعي</v>
      </c>
    </row>
    <row r="428" spans="1:16" x14ac:dyDescent="0.3">
      <c r="A428" s="7">
        <v>54256</v>
      </c>
      <c r="B428" s="7" t="s">
        <v>889</v>
      </c>
      <c r="C428" s="7" t="s">
        <v>890</v>
      </c>
      <c r="D428" s="7" t="s">
        <v>53</v>
      </c>
      <c r="E428" s="7" t="s">
        <v>17</v>
      </c>
      <c r="F428" s="8">
        <v>35280</v>
      </c>
      <c r="G428" s="7">
        <f t="shared" ca="1" si="24"/>
        <v>29.761111111111113</v>
      </c>
      <c r="H428" s="7" t="s">
        <v>18</v>
      </c>
      <c r="I428" s="7" t="s">
        <v>19</v>
      </c>
      <c r="J428" s="7" t="s">
        <v>20</v>
      </c>
      <c r="K428" s="7" t="s">
        <v>31</v>
      </c>
      <c r="L428" s="8">
        <v>45150</v>
      </c>
      <c r="M428" s="7">
        <f t="shared" ca="1" si="25"/>
        <v>2.7361111111111112</v>
      </c>
      <c r="N428" s="7">
        <v>29116</v>
      </c>
      <c r="O428" s="7" t="str">
        <f t="shared" si="26"/>
        <v>أغسطس</v>
      </c>
      <c r="P428" s="7" t="str">
        <f t="shared" si="27"/>
        <v>راتب طبيعي</v>
      </c>
    </row>
    <row r="429" spans="1:16" x14ac:dyDescent="0.3">
      <c r="A429" s="9">
        <v>50131</v>
      </c>
      <c r="B429" s="9" t="s">
        <v>891</v>
      </c>
      <c r="C429" s="9" t="s">
        <v>892</v>
      </c>
      <c r="D429" s="9" t="s">
        <v>95</v>
      </c>
      <c r="E429" s="9" t="s">
        <v>17</v>
      </c>
      <c r="F429" s="10">
        <v>31317</v>
      </c>
      <c r="G429" s="7">
        <f t="shared" ca="1" si="24"/>
        <v>40.611111111111114</v>
      </c>
      <c r="H429" s="9" t="s">
        <v>36</v>
      </c>
      <c r="I429" s="9" t="s">
        <v>19</v>
      </c>
      <c r="J429" s="9" t="s">
        <v>31</v>
      </c>
      <c r="K429" s="9" t="s">
        <v>27</v>
      </c>
      <c r="L429" s="10">
        <v>45151</v>
      </c>
      <c r="M429" s="9">
        <f t="shared" ca="1" si="25"/>
        <v>2.7333333333333334</v>
      </c>
      <c r="N429" s="9">
        <v>20122</v>
      </c>
      <c r="O429" s="9" t="str">
        <f t="shared" si="26"/>
        <v>أغسطس</v>
      </c>
      <c r="P429" s="7" t="str">
        <f t="shared" si="27"/>
        <v>راتب طبيعي</v>
      </c>
    </row>
    <row r="430" spans="1:16" x14ac:dyDescent="0.3">
      <c r="A430" s="7">
        <v>50119</v>
      </c>
      <c r="B430" s="7" t="s">
        <v>893</v>
      </c>
      <c r="C430" s="7" t="s">
        <v>894</v>
      </c>
      <c r="D430" s="7" t="s">
        <v>34</v>
      </c>
      <c r="E430" s="7" t="s">
        <v>35</v>
      </c>
      <c r="F430" s="8">
        <v>34750</v>
      </c>
      <c r="G430" s="7">
        <f t="shared" ca="1" si="24"/>
        <v>31.213888888888889</v>
      </c>
      <c r="H430" s="7" t="s">
        <v>18</v>
      </c>
      <c r="I430" s="7" t="s">
        <v>46</v>
      </c>
      <c r="J430" s="7" t="s">
        <v>21</v>
      </c>
      <c r="K430" s="7" t="s">
        <v>26</v>
      </c>
      <c r="L430" s="8">
        <v>45152</v>
      </c>
      <c r="M430" s="7">
        <f t="shared" ca="1" si="25"/>
        <v>2.7305555555555556</v>
      </c>
      <c r="N430" s="7">
        <v>14181</v>
      </c>
      <c r="O430" s="7" t="str">
        <f t="shared" si="26"/>
        <v>أغسطس</v>
      </c>
      <c r="P430" s="7" t="str">
        <f t="shared" si="27"/>
        <v>راتب طبيعي</v>
      </c>
    </row>
    <row r="431" spans="1:16" x14ac:dyDescent="0.3">
      <c r="A431" s="9">
        <v>58069</v>
      </c>
      <c r="B431" s="9" t="s">
        <v>895</v>
      </c>
      <c r="C431" s="9" t="s">
        <v>896</v>
      </c>
      <c r="D431" s="9" t="s">
        <v>24</v>
      </c>
      <c r="E431" s="9" t="s">
        <v>17</v>
      </c>
      <c r="F431" s="10">
        <v>30463</v>
      </c>
      <c r="G431" s="7">
        <f t="shared" ca="1" si="24"/>
        <v>42.944444444444443</v>
      </c>
      <c r="H431" s="9" t="s">
        <v>18</v>
      </c>
      <c r="I431" s="9" t="s">
        <v>25</v>
      </c>
      <c r="J431" s="9" t="s">
        <v>31</v>
      </c>
      <c r="K431" s="9" t="s">
        <v>27</v>
      </c>
      <c r="L431" s="10">
        <v>45153</v>
      </c>
      <c r="M431" s="9">
        <f t="shared" ca="1" si="25"/>
        <v>2.7277777777777779</v>
      </c>
      <c r="N431" s="9">
        <v>4437</v>
      </c>
      <c r="O431" s="9" t="str">
        <f t="shared" si="26"/>
        <v>أغسطس</v>
      </c>
      <c r="P431" s="7" t="str">
        <f t="shared" si="27"/>
        <v>راتب عالي</v>
      </c>
    </row>
    <row r="432" spans="1:16" x14ac:dyDescent="0.3">
      <c r="A432" s="7">
        <v>57372</v>
      </c>
      <c r="B432" s="7" t="s">
        <v>897</v>
      </c>
      <c r="C432" s="7" t="s">
        <v>898</v>
      </c>
      <c r="D432" s="7" t="s">
        <v>146</v>
      </c>
      <c r="E432" s="7" t="s">
        <v>17</v>
      </c>
      <c r="F432" s="8">
        <v>37474</v>
      </c>
      <c r="G432" s="7">
        <f t="shared" ca="1" si="24"/>
        <v>23.752777777777776</v>
      </c>
      <c r="H432" s="7" t="s">
        <v>18</v>
      </c>
      <c r="I432" s="7" t="s">
        <v>25</v>
      </c>
      <c r="J432" s="7" t="s">
        <v>27</v>
      </c>
      <c r="K432" s="7" t="s">
        <v>27</v>
      </c>
      <c r="L432" s="8">
        <v>45154</v>
      </c>
      <c r="M432" s="7">
        <f t="shared" ca="1" si="25"/>
        <v>2.7250000000000001</v>
      </c>
      <c r="N432" s="7">
        <v>3391</v>
      </c>
      <c r="O432" s="7" t="str">
        <f t="shared" si="26"/>
        <v>أغسطس</v>
      </c>
      <c r="P432" s="7" t="str">
        <f t="shared" si="27"/>
        <v>راتب عالي</v>
      </c>
    </row>
    <row r="433" spans="1:16" x14ac:dyDescent="0.3">
      <c r="A433" s="9">
        <v>58728</v>
      </c>
      <c r="B433" s="9" t="s">
        <v>899</v>
      </c>
      <c r="C433" s="9" t="s">
        <v>900</v>
      </c>
      <c r="D433" s="9" t="s">
        <v>40</v>
      </c>
      <c r="E433" s="9" t="s">
        <v>17</v>
      </c>
      <c r="F433" s="10">
        <v>34311</v>
      </c>
      <c r="G433" s="7">
        <f t="shared" ca="1" si="24"/>
        <v>32.413888888888891</v>
      </c>
      <c r="H433" s="9" t="s">
        <v>36</v>
      </c>
      <c r="I433" s="9" t="s">
        <v>19</v>
      </c>
      <c r="J433" s="9" t="s">
        <v>20</v>
      </c>
      <c r="K433" s="9" t="s">
        <v>37</v>
      </c>
      <c r="L433" s="10">
        <v>45155</v>
      </c>
      <c r="M433" s="9">
        <f t="shared" ca="1" si="25"/>
        <v>2.7222222222222223</v>
      </c>
      <c r="N433" s="9">
        <v>22070</v>
      </c>
      <c r="O433" s="9" t="str">
        <f t="shared" si="26"/>
        <v>أغسطس</v>
      </c>
      <c r="P433" s="7" t="str">
        <f t="shared" si="27"/>
        <v>راتب طبيعي</v>
      </c>
    </row>
    <row r="434" spans="1:16" x14ac:dyDescent="0.3">
      <c r="A434" s="7">
        <v>59593</v>
      </c>
      <c r="B434" s="7" t="s">
        <v>901</v>
      </c>
      <c r="C434" s="7" t="s">
        <v>902</v>
      </c>
      <c r="D434" s="7" t="s">
        <v>24</v>
      </c>
      <c r="E434" s="7" t="s">
        <v>35</v>
      </c>
      <c r="F434" s="8">
        <v>30635</v>
      </c>
      <c r="G434" s="7">
        <f t="shared" ca="1" si="24"/>
        <v>42.477777777777774</v>
      </c>
      <c r="H434" s="7" t="s">
        <v>18</v>
      </c>
      <c r="I434" s="7" t="s">
        <v>25</v>
      </c>
      <c r="J434" s="7" t="s">
        <v>27</v>
      </c>
      <c r="K434" s="7" t="s">
        <v>31</v>
      </c>
      <c r="L434" s="8">
        <v>45156</v>
      </c>
      <c r="M434" s="7">
        <f t="shared" ca="1" si="25"/>
        <v>2.7194444444444446</v>
      </c>
      <c r="N434" s="7">
        <v>6048</v>
      </c>
      <c r="O434" s="7" t="str">
        <f t="shared" si="26"/>
        <v>أغسطس</v>
      </c>
      <c r="P434" s="7" t="str">
        <f t="shared" si="27"/>
        <v>راتب طبيعي</v>
      </c>
    </row>
    <row r="435" spans="1:16" x14ac:dyDescent="0.3">
      <c r="A435" s="9">
        <v>50999</v>
      </c>
      <c r="B435" s="9" t="s">
        <v>903</v>
      </c>
      <c r="C435" s="9" t="s">
        <v>904</v>
      </c>
      <c r="D435" s="9" t="s">
        <v>24</v>
      </c>
      <c r="E435" s="9" t="s">
        <v>17</v>
      </c>
      <c r="F435" s="10">
        <v>33421</v>
      </c>
      <c r="G435" s="7">
        <f t="shared" ca="1" si="24"/>
        <v>34.847222222222221</v>
      </c>
      <c r="H435" s="9" t="s">
        <v>36</v>
      </c>
      <c r="I435" s="9" t="s">
        <v>46</v>
      </c>
      <c r="J435" s="9" t="s">
        <v>21</v>
      </c>
      <c r="K435" s="9" t="s">
        <v>27</v>
      </c>
      <c r="L435" s="10">
        <v>45157</v>
      </c>
      <c r="M435" s="9">
        <f t="shared" ca="1" si="25"/>
        <v>2.7166666666666668</v>
      </c>
      <c r="N435" s="9">
        <v>14401</v>
      </c>
      <c r="O435" s="9" t="str">
        <f t="shared" si="26"/>
        <v>أغسطس</v>
      </c>
      <c r="P435" s="7" t="str">
        <f t="shared" si="27"/>
        <v>راتب طبيعي</v>
      </c>
    </row>
    <row r="436" spans="1:16" x14ac:dyDescent="0.3">
      <c r="A436" s="7">
        <v>52433</v>
      </c>
      <c r="B436" s="7" t="s">
        <v>905</v>
      </c>
      <c r="C436" s="7" t="s">
        <v>906</v>
      </c>
      <c r="D436" s="7" t="s">
        <v>53</v>
      </c>
      <c r="E436" s="7" t="s">
        <v>17</v>
      </c>
      <c r="F436" s="8">
        <v>33917</v>
      </c>
      <c r="G436" s="7">
        <f t="shared" ca="1" si="24"/>
        <v>33.494444444444447</v>
      </c>
      <c r="H436" s="7" t="s">
        <v>36</v>
      </c>
      <c r="I436" s="7" t="s">
        <v>25</v>
      </c>
      <c r="J436" s="7" t="s">
        <v>20</v>
      </c>
      <c r="K436" s="7" t="s">
        <v>37</v>
      </c>
      <c r="L436" s="8">
        <v>45158</v>
      </c>
      <c r="M436" s="7">
        <f t="shared" ca="1" si="25"/>
        <v>2.713888888888889</v>
      </c>
      <c r="N436" s="7">
        <v>4581</v>
      </c>
      <c r="O436" s="7" t="str">
        <f t="shared" si="26"/>
        <v>أغسطس</v>
      </c>
      <c r="P436" s="7" t="str">
        <f t="shared" si="27"/>
        <v>راتب عالي</v>
      </c>
    </row>
    <row r="437" spans="1:16" x14ac:dyDescent="0.3">
      <c r="A437" s="9">
        <v>53476</v>
      </c>
      <c r="B437" s="9" t="s">
        <v>907</v>
      </c>
      <c r="C437" s="9" t="s">
        <v>908</v>
      </c>
      <c r="D437" s="9" t="s">
        <v>66</v>
      </c>
      <c r="E437" s="9" t="s">
        <v>35</v>
      </c>
      <c r="F437" s="10">
        <v>36414</v>
      </c>
      <c r="G437" s="7">
        <f t="shared" ca="1" si="24"/>
        <v>26.655555555555555</v>
      </c>
      <c r="H437" s="9" t="s">
        <v>36</v>
      </c>
      <c r="I437" s="9" t="s">
        <v>19</v>
      </c>
      <c r="J437" s="9" t="s">
        <v>26</v>
      </c>
      <c r="K437" s="9" t="s">
        <v>21</v>
      </c>
      <c r="L437" s="10">
        <v>45159</v>
      </c>
      <c r="M437" s="9">
        <f t="shared" ca="1" si="25"/>
        <v>2.7111111111111112</v>
      </c>
      <c r="N437" s="9">
        <v>24302</v>
      </c>
      <c r="O437" s="9" t="str">
        <f t="shared" si="26"/>
        <v>أغسطس</v>
      </c>
      <c r="P437" s="7" t="str">
        <f t="shared" si="27"/>
        <v>راتب طبيعي</v>
      </c>
    </row>
    <row r="438" spans="1:16" x14ac:dyDescent="0.3">
      <c r="A438" s="7">
        <v>54718</v>
      </c>
      <c r="B438" s="7" t="s">
        <v>909</v>
      </c>
      <c r="C438" s="7" t="s">
        <v>910</v>
      </c>
      <c r="D438" s="7" t="s">
        <v>146</v>
      </c>
      <c r="E438" s="7" t="s">
        <v>17</v>
      </c>
      <c r="F438" s="8">
        <v>35326</v>
      </c>
      <c r="G438" s="7">
        <f t="shared" ca="1" si="24"/>
        <v>29.636111111111113</v>
      </c>
      <c r="H438" s="7" t="s">
        <v>36</v>
      </c>
      <c r="I438" s="7" t="s">
        <v>25</v>
      </c>
      <c r="J438" s="7" t="s">
        <v>20</v>
      </c>
      <c r="K438" s="7" t="s">
        <v>27</v>
      </c>
      <c r="L438" s="8">
        <v>45160</v>
      </c>
      <c r="M438" s="7">
        <f t="shared" ca="1" si="25"/>
        <v>2.7083333333333335</v>
      </c>
      <c r="N438" s="7">
        <v>6952</v>
      </c>
      <c r="O438" s="7" t="str">
        <f t="shared" si="26"/>
        <v>أغسطس</v>
      </c>
      <c r="P438" s="7" t="str">
        <f t="shared" si="27"/>
        <v>راتب طبيعي</v>
      </c>
    </row>
    <row r="439" spans="1:16" x14ac:dyDescent="0.3">
      <c r="A439" s="9">
        <v>58749</v>
      </c>
      <c r="B439" s="9" t="s">
        <v>911</v>
      </c>
      <c r="C439" s="9" t="s">
        <v>912</v>
      </c>
      <c r="D439" s="9" t="s">
        <v>16</v>
      </c>
      <c r="E439" s="9" t="s">
        <v>35</v>
      </c>
      <c r="F439" s="10">
        <v>33050</v>
      </c>
      <c r="G439" s="7">
        <f t="shared" ca="1" si="24"/>
        <v>35.863888888888887</v>
      </c>
      <c r="H439" s="9" t="s">
        <v>36</v>
      </c>
      <c r="I439" s="9" t="s">
        <v>25</v>
      </c>
      <c r="J439" s="9" t="s">
        <v>26</v>
      </c>
      <c r="K439" s="9" t="s">
        <v>26</v>
      </c>
      <c r="L439" s="10">
        <v>45161</v>
      </c>
      <c r="M439" s="9">
        <f t="shared" ca="1" si="25"/>
        <v>2.7055555555555557</v>
      </c>
      <c r="N439" s="9">
        <v>6487</v>
      </c>
      <c r="O439" s="9" t="str">
        <f t="shared" si="26"/>
        <v>أغسطس</v>
      </c>
      <c r="P439" s="7" t="str">
        <f t="shared" si="27"/>
        <v>راتب طبيعي</v>
      </c>
    </row>
    <row r="440" spans="1:16" x14ac:dyDescent="0.3">
      <c r="A440" s="7">
        <v>55686</v>
      </c>
      <c r="B440" s="7" t="s">
        <v>913</v>
      </c>
      <c r="C440" s="7" t="s">
        <v>914</v>
      </c>
      <c r="D440" s="7" t="s">
        <v>24</v>
      </c>
      <c r="E440" s="7" t="s">
        <v>35</v>
      </c>
      <c r="F440" s="8">
        <v>33096</v>
      </c>
      <c r="G440" s="7">
        <f t="shared" ca="1" si="24"/>
        <v>35.738888888888887</v>
      </c>
      <c r="H440" s="7" t="s">
        <v>18</v>
      </c>
      <c r="I440" s="7" t="s">
        <v>25</v>
      </c>
      <c r="J440" s="7" t="s">
        <v>27</v>
      </c>
      <c r="K440" s="7" t="s">
        <v>31</v>
      </c>
      <c r="L440" s="8">
        <v>45162</v>
      </c>
      <c r="M440" s="7">
        <f t="shared" ca="1" si="25"/>
        <v>2.7027777777777779</v>
      </c>
      <c r="N440" s="7">
        <v>4454</v>
      </c>
      <c r="O440" s="7" t="str">
        <f t="shared" si="26"/>
        <v>أغسطس</v>
      </c>
      <c r="P440" s="7" t="str">
        <f t="shared" si="27"/>
        <v>راتب عالي</v>
      </c>
    </row>
    <row r="441" spans="1:16" x14ac:dyDescent="0.3">
      <c r="A441" s="9">
        <v>56004</v>
      </c>
      <c r="B441" s="9" t="s">
        <v>915</v>
      </c>
      <c r="C441" s="9" t="s">
        <v>916</v>
      </c>
      <c r="D441" s="9" t="s">
        <v>66</v>
      </c>
      <c r="E441" s="9" t="s">
        <v>17</v>
      </c>
      <c r="F441" s="10">
        <v>37610</v>
      </c>
      <c r="G441" s="7">
        <f t="shared" ca="1" si="24"/>
        <v>23.380555555555556</v>
      </c>
      <c r="H441" s="9" t="s">
        <v>36</v>
      </c>
      <c r="I441" s="9" t="s">
        <v>19</v>
      </c>
      <c r="J441" s="9" t="s">
        <v>20</v>
      </c>
      <c r="K441" s="9" t="s">
        <v>20</v>
      </c>
      <c r="L441" s="10">
        <v>45163</v>
      </c>
      <c r="M441" s="9">
        <f t="shared" ca="1" si="25"/>
        <v>2.7</v>
      </c>
      <c r="N441" s="9">
        <v>29258</v>
      </c>
      <c r="O441" s="9" t="str">
        <f t="shared" si="26"/>
        <v>أغسطس</v>
      </c>
      <c r="P441" s="7" t="str">
        <f t="shared" si="27"/>
        <v>راتب طبيعي</v>
      </c>
    </row>
    <row r="442" spans="1:16" x14ac:dyDescent="0.3">
      <c r="A442" s="7">
        <v>53329</v>
      </c>
      <c r="B442" s="7" t="s">
        <v>917</v>
      </c>
      <c r="C442" s="7" t="s">
        <v>918</v>
      </c>
      <c r="D442" s="7" t="s">
        <v>34</v>
      </c>
      <c r="E442" s="7" t="s">
        <v>35</v>
      </c>
      <c r="F442" s="8">
        <v>36712</v>
      </c>
      <c r="G442" s="7">
        <f t="shared" ca="1" si="24"/>
        <v>25.838888888888889</v>
      </c>
      <c r="H442" s="7" t="s">
        <v>36</v>
      </c>
      <c r="I442" s="7" t="s">
        <v>19</v>
      </c>
      <c r="J442" s="7" t="s">
        <v>31</v>
      </c>
      <c r="K442" s="7" t="s">
        <v>27</v>
      </c>
      <c r="L442" s="8">
        <v>45164</v>
      </c>
      <c r="M442" s="7">
        <f t="shared" ca="1" si="25"/>
        <v>2.6972222222222224</v>
      </c>
      <c r="N442" s="7">
        <v>24838</v>
      </c>
      <c r="O442" s="7" t="str">
        <f t="shared" si="26"/>
        <v>أغسطس</v>
      </c>
      <c r="P442" s="7" t="str">
        <f t="shared" si="27"/>
        <v>راتب طبيعي</v>
      </c>
    </row>
    <row r="443" spans="1:16" x14ac:dyDescent="0.3">
      <c r="A443" s="9">
        <v>52368</v>
      </c>
      <c r="B443" s="9" t="s">
        <v>919</v>
      </c>
      <c r="C443" s="9" t="s">
        <v>920</v>
      </c>
      <c r="D443" s="9" t="s">
        <v>146</v>
      </c>
      <c r="E443" s="9" t="s">
        <v>17</v>
      </c>
      <c r="F443" s="10">
        <v>33265</v>
      </c>
      <c r="G443" s="7">
        <f t="shared" ca="1" si="24"/>
        <v>35.277777777777779</v>
      </c>
      <c r="H443" s="9" t="s">
        <v>36</v>
      </c>
      <c r="I443" s="9" t="s">
        <v>25</v>
      </c>
      <c r="J443" s="9" t="s">
        <v>27</v>
      </c>
      <c r="K443" s="9" t="s">
        <v>37</v>
      </c>
      <c r="L443" s="10">
        <v>45165</v>
      </c>
      <c r="M443" s="9">
        <f t="shared" ca="1" si="25"/>
        <v>2.6944444444444446</v>
      </c>
      <c r="N443" s="9">
        <v>4867</v>
      </c>
      <c r="O443" s="9" t="str">
        <f t="shared" si="26"/>
        <v>أغسطس</v>
      </c>
      <c r="P443" s="7" t="str">
        <f t="shared" si="27"/>
        <v>راتب عالي</v>
      </c>
    </row>
    <row r="444" spans="1:16" x14ac:dyDescent="0.3">
      <c r="A444" s="7">
        <v>55082</v>
      </c>
      <c r="B444" s="7" t="s">
        <v>921</v>
      </c>
      <c r="C444" s="7" t="s">
        <v>922</v>
      </c>
      <c r="D444" s="7" t="s">
        <v>16</v>
      </c>
      <c r="E444" s="7" t="s">
        <v>17</v>
      </c>
      <c r="F444" s="8">
        <v>36334</v>
      </c>
      <c r="G444" s="7">
        <f t="shared" ca="1" si="24"/>
        <v>26.872222222222224</v>
      </c>
      <c r="H444" s="7" t="s">
        <v>36</v>
      </c>
      <c r="I444" s="7" t="s">
        <v>25</v>
      </c>
      <c r="J444" s="7" t="s">
        <v>20</v>
      </c>
      <c r="K444" s="7" t="s">
        <v>31</v>
      </c>
      <c r="L444" s="8">
        <v>45166</v>
      </c>
      <c r="M444" s="7">
        <f t="shared" ca="1" si="25"/>
        <v>2.6916666666666669</v>
      </c>
      <c r="N444" s="7">
        <v>6647</v>
      </c>
      <c r="O444" s="7" t="str">
        <f t="shared" si="26"/>
        <v>أغسطس</v>
      </c>
      <c r="P444" s="7" t="str">
        <f t="shared" si="27"/>
        <v>راتب طبيعي</v>
      </c>
    </row>
    <row r="445" spans="1:16" x14ac:dyDescent="0.3">
      <c r="A445" s="9">
        <v>59439</v>
      </c>
      <c r="B445" s="9" t="s">
        <v>923</v>
      </c>
      <c r="C445" s="9" t="s">
        <v>924</v>
      </c>
      <c r="D445" s="9" t="s">
        <v>53</v>
      </c>
      <c r="E445" s="9" t="s">
        <v>17</v>
      </c>
      <c r="F445" s="10">
        <v>32028</v>
      </c>
      <c r="G445" s="7">
        <f t="shared" ca="1" si="24"/>
        <v>38.663888888888891</v>
      </c>
      <c r="H445" s="9" t="s">
        <v>18</v>
      </c>
      <c r="I445" s="9" t="s">
        <v>25</v>
      </c>
      <c r="J445" s="9" t="s">
        <v>21</v>
      </c>
      <c r="K445" s="9" t="s">
        <v>27</v>
      </c>
      <c r="L445" s="10">
        <v>45167</v>
      </c>
      <c r="M445" s="9">
        <f t="shared" ca="1" si="25"/>
        <v>2.6888888888888891</v>
      </c>
      <c r="N445" s="9">
        <v>5041</v>
      </c>
      <c r="O445" s="9" t="str">
        <f t="shared" si="26"/>
        <v>أغسطس</v>
      </c>
      <c r="P445" s="7" t="str">
        <f t="shared" si="27"/>
        <v>راتب عالي</v>
      </c>
    </row>
    <row r="446" spans="1:16" x14ac:dyDescent="0.3">
      <c r="A446" s="7">
        <v>56382</v>
      </c>
      <c r="B446" s="7" t="s">
        <v>925</v>
      </c>
      <c r="C446" s="7" t="s">
        <v>926</v>
      </c>
      <c r="D446" s="7" t="s">
        <v>95</v>
      </c>
      <c r="E446" s="7" t="s">
        <v>35</v>
      </c>
      <c r="F446" s="8">
        <v>37408</v>
      </c>
      <c r="G446" s="7">
        <f t="shared" ca="1" si="24"/>
        <v>23.933333333333334</v>
      </c>
      <c r="H446" s="7" t="s">
        <v>36</v>
      </c>
      <c r="I446" s="7" t="s">
        <v>25</v>
      </c>
      <c r="J446" s="7" t="s">
        <v>27</v>
      </c>
      <c r="K446" s="7" t="s">
        <v>31</v>
      </c>
      <c r="L446" s="8">
        <v>45168</v>
      </c>
      <c r="M446" s="7">
        <f t="shared" ca="1" si="25"/>
        <v>2.6861111111111109</v>
      </c>
      <c r="N446" s="7">
        <v>6348</v>
      </c>
      <c r="O446" s="7" t="str">
        <f t="shared" si="26"/>
        <v>أغسطس</v>
      </c>
      <c r="P446" s="7" t="str">
        <f t="shared" si="27"/>
        <v>راتب طبيعي</v>
      </c>
    </row>
    <row r="447" spans="1:16" x14ac:dyDescent="0.3">
      <c r="A447" s="9">
        <v>55586</v>
      </c>
      <c r="B447" s="9" t="s">
        <v>927</v>
      </c>
      <c r="C447" s="9" t="s">
        <v>928</v>
      </c>
      <c r="D447" s="9" t="s">
        <v>34</v>
      </c>
      <c r="E447" s="9" t="s">
        <v>17</v>
      </c>
      <c r="F447" s="10">
        <v>36867</v>
      </c>
      <c r="G447" s="7">
        <f t="shared" ca="1" si="24"/>
        <v>25.416666666666668</v>
      </c>
      <c r="H447" s="9" t="s">
        <v>36</v>
      </c>
      <c r="I447" s="9" t="s">
        <v>25</v>
      </c>
      <c r="J447" s="9" t="s">
        <v>27</v>
      </c>
      <c r="K447" s="9" t="s">
        <v>27</v>
      </c>
      <c r="L447" s="10">
        <v>45169</v>
      </c>
      <c r="M447" s="9">
        <f t="shared" ca="1" si="25"/>
        <v>2.6861111111111109</v>
      </c>
      <c r="N447" s="9">
        <v>5374</v>
      </c>
      <c r="O447" s="9" t="str">
        <f t="shared" si="26"/>
        <v>أغسطس</v>
      </c>
      <c r="P447" s="7" t="str">
        <f t="shared" si="27"/>
        <v>راتب عالي</v>
      </c>
    </row>
    <row r="448" spans="1:16" x14ac:dyDescent="0.3">
      <c r="A448" s="7">
        <v>58004</v>
      </c>
      <c r="B448" s="7" t="s">
        <v>929</v>
      </c>
      <c r="C448" s="7" t="s">
        <v>930</v>
      </c>
      <c r="D448" s="7" t="s">
        <v>53</v>
      </c>
      <c r="E448" s="7" t="s">
        <v>17</v>
      </c>
      <c r="F448" s="8">
        <v>36557</v>
      </c>
      <c r="G448" s="7">
        <f t="shared" ca="1" si="24"/>
        <v>26.266666666666666</v>
      </c>
      <c r="H448" s="7" t="s">
        <v>36</v>
      </c>
      <c r="I448" s="7" t="s">
        <v>25</v>
      </c>
      <c r="J448" s="7" t="s">
        <v>27</v>
      </c>
      <c r="K448" s="7" t="s">
        <v>26</v>
      </c>
      <c r="L448" s="8">
        <v>45170</v>
      </c>
      <c r="M448" s="7">
        <f t="shared" ca="1" si="25"/>
        <v>2.6833333333333331</v>
      </c>
      <c r="N448" s="7">
        <v>4500</v>
      </c>
      <c r="O448" s="7" t="str">
        <f t="shared" si="26"/>
        <v>سبتمبر</v>
      </c>
      <c r="P448" s="7" t="str">
        <f t="shared" si="27"/>
        <v>راتب عالي</v>
      </c>
    </row>
    <row r="449" spans="1:16" x14ac:dyDescent="0.3">
      <c r="A449" s="9">
        <v>51446</v>
      </c>
      <c r="B449" s="9" t="s">
        <v>931</v>
      </c>
      <c r="C449" s="9" t="s">
        <v>932</v>
      </c>
      <c r="D449" s="9" t="s">
        <v>43</v>
      </c>
      <c r="E449" s="9" t="s">
        <v>35</v>
      </c>
      <c r="F449" s="10">
        <v>34443</v>
      </c>
      <c r="G449" s="7">
        <f t="shared" ca="1" si="24"/>
        <v>32.049999999999997</v>
      </c>
      <c r="H449" s="9" t="s">
        <v>18</v>
      </c>
      <c r="I449" s="9" t="s">
        <v>25</v>
      </c>
      <c r="J449" s="9" t="s">
        <v>20</v>
      </c>
      <c r="K449" s="9" t="s">
        <v>27</v>
      </c>
      <c r="L449" s="10">
        <v>45171</v>
      </c>
      <c r="M449" s="9">
        <f t="shared" ca="1" si="25"/>
        <v>2.6805555555555554</v>
      </c>
      <c r="N449" s="9">
        <v>5233</v>
      </c>
      <c r="O449" s="9" t="str">
        <f t="shared" si="26"/>
        <v>سبتمبر</v>
      </c>
      <c r="P449" s="7" t="str">
        <f t="shared" si="27"/>
        <v>راتب عالي</v>
      </c>
    </row>
    <row r="450" spans="1:16" x14ac:dyDescent="0.3">
      <c r="A450" s="7">
        <v>56829</v>
      </c>
      <c r="B450" s="7" t="s">
        <v>933</v>
      </c>
      <c r="C450" s="7" t="s">
        <v>934</v>
      </c>
      <c r="D450" s="7" t="s">
        <v>146</v>
      </c>
      <c r="E450" s="7" t="s">
        <v>17</v>
      </c>
      <c r="F450" s="8">
        <v>35827</v>
      </c>
      <c r="G450" s="7">
        <f t="shared" ca="1" si="24"/>
        <v>28.266666666666666</v>
      </c>
      <c r="H450" s="7" t="s">
        <v>36</v>
      </c>
      <c r="I450" s="7" t="s">
        <v>25</v>
      </c>
      <c r="J450" s="7" t="s">
        <v>21</v>
      </c>
      <c r="K450" s="7" t="s">
        <v>26</v>
      </c>
      <c r="L450" s="8">
        <v>45172</v>
      </c>
      <c r="M450" s="7">
        <f t="shared" ca="1" si="25"/>
        <v>2.6777777777777776</v>
      </c>
      <c r="N450" s="7">
        <v>3305</v>
      </c>
      <c r="O450" s="7" t="str">
        <f t="shared" si="26"/>
        <v>سبتمبر</v>
      </c>
      <c r="P450" s="7" t="str">
        <f t="shared" si="27"/>
        <v>راتب عالي</v>
      </c>
    </row>
    <row r="451" spans="1:16" x14ac:dyDescent="0.3">
      <c r="A451" s="9">
        <v>58664</v>
      </c>
      <c r="B451" s="9" t="s">
        <v>935</v>
      </c>
      <c r="C451" s="9" t="s">
        <v>936</v>
      </c>
      <c r="D451" s="9" t="s">
        <v>95</v>
      </c>
      <c r="E451" s="9" t="s">
        <v>35</v>
      </c>
      <c r="F451" s="10">
        <v>33154</v>
      </c>
      <c r="G451" s="7">
        <f t="shared" ref="G451:G514" ca="1" si="28">YEARFRAC(F451,TODAY())</f>
        <v>35.580555555555556</v>
      </c>
      <c r="H451" s="9" t="s">
        <v>18</v>
      </c>
      <c r="I451" s="9" t="s">
        <v>46</v>
      </c>
      <c r="J451" s="9" t="s">
        <v>26</v>
      </c>
      <c r="K451" s="9" t="s">
        <v>20</v>
      </c>
      <c r="L451" s="10">
        <v>45173</v>
      </c>
      <c r="M451" s="9">
        <f t="shared" ref="M451:M514" ca="1" si="29">YEARFRAC(L451,TODAY())</f>
        <v>2.6749999999999998</v>
      </c>
      <c r="N451" s="9">
        <v>11929</v>
      </c>
      <c r="O451" s="9" t="str">
        <f t="shared" ref="O451:O514" si="30">TEXT(L451,"mmm")</f>
        <v>سبتمبر</v>
      </c>
      <c r="P451" s="7" t="str">
        <f t="shared" ref="P451:P514" si="31">IF(N451&gt;=S$10,"راتب طبيعي","راتب عالي")</f>
        <v>راتب طبيعي</v>
      </c>
    </row>
    <row r="452" spans="1:16" x14ac:dyDescent="0.3">
      <c r="A452" s="7">
        <v>55946</v>
      </c>
      <c r="B452" s="7" t="s">
        <v>937</v>
      </c>
      <c r="C452" s="7" t="s">
        <v>938</v>
      </c>
      <c r="D452" s="7" t="s">
        <v>34</v>
      </c>
      <c r="E452" s="7" t="s">
        <v>17</v>
      </c>
      <c r="F452" s="8">
        <v>34704</v>
      </c>
      <c r="G452" s="7">
        <f t="shared" ca="1" si="28"/>
        <v>31.338888888888889</v>
      </c>
      <c r="H452" s="7" t="s">
        <v>36</v>
      </c>
      <c r="I452" s="7" t="s">
        <v>25</v>
      </c>
      <c r="J452" s="7" t="s">
        <v>26</v>
      </c>
      <c r="K452" s="7" t="s">
        <v>31</v>
      </c>
      <c r="L452" s="8">
        <v>45174</v>
      </c>
      <c r="M452" s="7">
        <f t="shared" ca="1" si="29"/>
        <v>2.6722222222222221</v>
      </c>
      <c r="N452" s="7">
        <v>6326</v>
      </c>
      <c r="O452" s="7" t="str">
        <f t="shared" si="30"/>
        <v>سبتمبر</v>
      </c>
      <c r="P452" s="7" t="str">
        <f t="shared" si="31"/>
        <v>راتب طبيعي</v>
      </c>
    </row>
    <row r="453" spans="1:16" x14ac:dyDescent="0.3">
      <c r="A453" s="9">
        <v>52535</v>
      </c>
      <c r="B453" s="9" t="s">
        <v>939</v>
      </c>
      <c r="C453" s="9" t="s">
        <v>940</v>
      </c>
      <c r="D453" s="9" t="s">
        <v>30</v>
      </c>
      <c r="E453" s="9" t="s">
        <v>17</v>
      </c>
      <c r="F453" s="10">
        <v>37070</v>
      </c>
      <c r="G453" s="7">
        <f t="shared" ca="1" si="28"/>
        <v>24.858333333333334</v>
      </c>
      <c r="H453" s="9" t="s">
        <v>18</v>
      </c>
      <c r="I453" s="9" t="s">
        <v>25</v>
      </c>
      <c r="J453" s="9" t="s">
        <v>27</v>
      </c>
      <c r="K453" s="9" t="s">
        <v>37</v>
      </c>
      <c r="L453" s="10">
        <v>45175</v>
      </c>
      <c r="M453" s="9">
        <f t="shared" ca="1" si="29"/>
        <v>2.6694444444444443</v>
      </c>
      <c r="N453" s="9">
        <v>4537</v>
      </c>
      <c r="O453" s="9" t="str">
        <f t="shared" si="30"/>
        <v>سبتمبر</v>
      </c>
      <c r="P453" s="7" t="str">
        <f t="shared" si="31"/>
        <v>راتب عالي</v>
      </c>
    </row>
    <row r="454" spans="1:16" x14ac:dyDescent="0.3">
      <c r="A454" s="7">
        <v>56255</v>
      </c>
      <c r="B454" s="7" t="s">
        <v>941</v>
      </c>
      <c r="C454" s="7" t="s">
        <v>942</v>
      </c>
      <c r="D454" s="7" t="s">
        <v>95</v>
      </c>
      <c r="E454" s="7" t="s">
        <v>17</v>
      </c>
      <c r="F454" s="8">
        <v>31846</v>
      </c>
      <c r="G454" s="7">
        <f t="shared" ca="1" si="28"/>
        <v>39.158333333333331</v>
      </c>
      <c r="H454" s="7" t="s">
        <v>36</v>
      </c>
      <c r="I454" s="7" t="s">
        <v>25</v>
      </c>
      <c r="J454" s="7" t="s">
        <v>26</v>
      </c>
      <c r="K454" s="7" t="s">
        <v>26</v>
      </c>
      <c r="L454" s="8">
        <v>45176</v>
      </c>
      <c r="M454" s="7">
        <f t="shared" ca="1" si="29"/>
        <v>2.6666666666666665</v>
      </c>
      <c r="N454" s="7">
        <v>5744</v>
      </c>
      <c r="O454" s="7" t="str">
        <f t="shared" si="30"/>
        <v>سبتمبر</v>
      </c>
      <c r="P454" s="7" t="str">
        <f t="shared" si="31"/>
        <v>راتب عالي</v>
      </c>
    </row>
    <row r="455" spans="1:16" x14ac:dyDescent="0.3">
      <c r="A455" s="9">
        <v>52786</v>
      </c>
      <c r="B455" s="9" t="s">
        <v>943</v>
      </c>
      <c r="C455" s="9" t="s">
        <v>944</v>
      </c>
      <c r="D455" s="9" t="s">
        <v>30</v>
      </c>
      <c r="E455" s="9" t="s">
        <v>17</v>
      </c>
      <c r="F455" s="10">
        <v>32602</v>
      </c>
      <c r="G455" s="7">
        <f t="shared" ca="1" si="28"/>
        <v>37.091666666666669</v>
      </c>
      <c r="H455" s="9" t="s">
        <v>18</v>
      </c>
      <c r="I455" s="9" t="s">
        <v>25</v>
      </c>
      <c r="J455" s="9" t="s">
        <v>31</v>
      </c>
      <c r="K455" s="9" t="s">
        <v>20</v>
      </c>
      <c r="L455" s="10">
        <v>45177</v>
      </c>
      <c r="M455" s="9">
        <f t="shared" ca="1" si="29"/>
        <v>2.6638888888888888</v>
      </c>
      <c r="N455" s="9">
        <v>4307</v>
      </c>
      <c r="O455" s="9" t="str">
        <f t="shared" si="30"/>
        <v>سبتمبر</v>
      </c>
      <c r="P455" s="7" t="str">
        <f t="shared" si="31"/>
        <v>راتب عالي</v>
      </c>
    </row>
    <row r="456" spans="1:16" x14ac:dyDescent="0.3">
      <c r="A456" s="7">
        <v>58259</v>
      </c>
      <c r="B456" s="7" t="s">
        <v>945</v>
      </c>
      <c r="C456" s="7" t="s">
        <v>946</v>
      </c>
      <c r="D456" s="7" t="s">
        <v>24</v>
      </c>
      <c r="E456" s="7" t="s">
        <v>17</v>
      </c>
      <c r="F456" s="8">
        <v>33376</v>
      </c>
      <c r="G456" s="7">
        <f t="shared" ca="1" si="28"/>
        <v>34.969444444444441</v>
      </c>
      <c r="H456" s="7" t="s">
        <v>36</v>
      </c>
      <c r="I456" s="7" t="s">
        <v>19</v>
      </c>
      <c r="J456" s="7" t="s">
        <v>27</v>
      </c>
      <c r="K456" s="7" t="s">
        <v>37</v>
      </c>
      <c r="L456" s="8">
        <v>45178</v>
      </c>
      <c r="M456" s="7">
        <f t="shared" ca="1" si="29"/>
        <v>2.661111111111111</v>
      </c>
      <c r="N456" s="7">
        <v>22842</v>
      </c>
      <c r="O456" s="7" t="str">
        <f t="shared" si="30"/>
        <v>سبتمبر</v>
      </c>
      <c r="P456" s="7" t="str">
        <f t="shared" si="31"/>
        <v>راتب طبيعي</v>
      </c>
    </row>
    <row r="457" spans="1:16" x14ac:dyDescent="0.3">
      <c r="A457" s="9">
        <v>54705</v>
      </c>
      <c r="B457" s="9" t="s">
        <v>947</v>
      </c>
      <c r="C457" s="9" t="s">
        <v>948</v>
      </c>
      <c r="D457" s="9" t="s">
        <v>95</v>
      </c>
      <c r="E457" s="9" t="s">
        <v>35</v>
      </c>
      <c r="F457" s="10">
        <v>30835</v>
      </c>
      <c r="G457" s="7">
        <f t="shared" ca="1" si="28"/>
        <v>41.930555555555557</v>
      </c>
      <c r="H457" s="9" t="s">
        <v>36</v>
      </c>
      <c r="I457" s="9" t="s">
        <v>25</v>
      </c>
      <c r="J457" s="9" t="s">
        <v>31</v>
      </c>
      <c r="K457" s="9" t="s">
        <v>21</v>
      </c>
      <c r="L457" s="10">
        <v>45179</v>
      </c>
      <c r="M457" s="9">
        <f t="shared" ca="1" si="29"/>
        <v>2.6583333333333332</v>
      </c>
      <c r="N457" s="9">
        <v>5656</v>
      </c>
      <c r="O457" s="9" t="str">
        <f t="shared" si="30"/>
        <v>سبتمبر</v>
      </c>
      <c r="P457" s="7" t="str">
        <f t="shared" si="31"/>
        <v>راتب عالي</v>
      </c>
    </row>
    <row r="458" spans="1:16" x14ac:dyDescent="0.3">
      <c r="A458" s="7">
        <v>51200</v>
      </c>
      <c r="B458" s="7" t="s">
        <v>949</v>
      </c>
      <c r="C458" s="7" t="s">
        <v>950</v>
      </c>
      <c r="D458" s="7" t="s">
        <v>30</v>
      </c>
      <c r="E458" s="7" t="s">
        <v>35</v>
      </c>
      <c r="F458" s="8">
        <v>33562</v>
      </c>
      <c r="G458" s="7">
        <f t="shared" ca="1" si="28"/>
        <v>34.463888888888889</v>
      </c>
      <c r="H458" s="7" t="s">
        <v>18</v>
      </c>
      <c r="I458" s="7" t="s">
        <v>46</v>
      </c>
      <c r="J458" s="7" t="s">
        <v>27</v>
      </c>
      <c r="K458" s="7" t="s">
        <v>20</v>
      </c>
      <c r="L458" s="8">
        <v>45180</v>
      </c>
      <c r="M458" s="7">
        <f t="shared" ca="1" si="29"/>
        <v>2.6555555555555554</v>
      </c>
      <c r="N458" s="7">
        <v>13121</v>
      </c>
      <c r="O458" s="7" t="str">
        <f t="shared" si="30"/>
        <v>سبتمبر</v>
      </c>
      <c r="P458" s="7" t="str">
        <f t="shared" si="31"/>
        <v>راتب طبيعي</v>
      </c>
    </row>
    <row r="459" spans="1:16" x14ac:dyDescent="0.3">
      <c r="A459" s="9">
        <v>54702</v>
      </c>
      <c r="B459" s="9" t="s">
        <v>951</v>
      </c>
      <c r="C459" s="9" t="s">
        <v>952</v>
      </c>
      <c r="D459" s="9" t="s">
        <v>43</v>
      </c>
      <c r="E459" s="9" t="s">
        <v>35</v>
      </c>
      <c r="F459" s="10">
        <v>33309</v>
      </c>
      <c r="G459" s="7">
        <f t="shared" ca="1" si="28"/>
        <v>35.152777777777779</v>
      </c>
      <c r="H459" s="9" t="s">
        <v>18</v>
      </c>
      <c r="I459" s="9" t="s">
        <v>25</v>
      </c>
      <c r="J459" s="9" t="s">
        <v>21</v>
      </c>
      <c r="K459" s="9" t="s">
        <v>20</v>
      </c>
      <c r="L459" s="10">
        <v>45181</v>
      </c>
      <c r="M459" s="9">
        <f t="shared" ca="1" si="29"/>
        <v>2.6527777777777777</v>
      </c>
      <c r="N459" s="9">
        <v>6894</v>
      </c>
      <c r="O459" s="9" t="str">
        <f t="shared" si="30"/>
        <v>سبتمبر</v>
      </c>
      <c r="P459" s="7" t="str">
        <f t="shared" si="31"/>
        <v>راتب طبيعي</v>
      </c>
    </row>
    <row r="460" spans="1:16" x14ac:dyDescent="0.3">
      <c r="A460" s="7">
        <v>56184</v>
      </c>
      <c r="B460" s="7" t="s">
        <v>953</v>
      </c>
      <c r="C460" s="7" t="s">
        <v>954</v>
      </c>
      <c r="D460" s="7" t="s">
        <v>16</v>
      </c>
      <c r="E460" s="7" t="s">
        <v>35</v>
      </c>
      <c r="F460" s="8">
        <v>29966</v>
      </c>
      <c r="G460" s="7">
        <f t="shared" ca="1" si="28"/>
        <v>44.31111111111111</v>
      </c>
      <c r="H460" s="7" t="s">
        <v>36</v>
      </c>
      <c r="I460" s="7" t="s">
        <v>25</v>
      </c>
      <c r="J460" s="7" t="s">
        <v>31</v>
      </c>
      <c r="K460" s="7" t="s">
        <v>31</v>
      </c>
      <c r="L460" s="8">
        <v>45182</v>
      </c>
      <c r="M460" s="7">
        <f t="shared" ca="1" si="29"/>
        <v>2.65</v>
      </c>
      <c r="N460" s="7">
        <v>3074</v>
      </c>
      <c r="O460" s="7" t="str">
        <f t="shared" si="30"/>
        <v>سبتمبر</v>
      </c>
      <c r="P460" s="7" t="str">
        <f t="shared" si="31"/>
        <v>راتب عالي</v>
      </c>
    </row>
    <row r="461" spans="1:16" x14ac:dyDescent="0.3">
      <c r="A461" s="9">
        <v>58164</v>
      </c>
      <c r="B461" s="9" t="s">
        <v>955</v>
      </c>
      <c r="C461" s="9" t="s">
        <v>956</v>
      </c>
      <c r="D461" s="9" t="s">
        <v>146</v>
      </c>
      <c r="E461" s="9" t="s">
        <v>35</v>
      </c>
      <c r="F461" s="10">
        <v>31849</v>
      </c>
      <c r="G461" s="7">
        <f t="shared" ca="1" si="28"/>
        <v>39.15</v>
      </c>
      <c r="H461" s="9" t="s">
        <v>18</v>
      </c>
      <c r="I461" s="9" t="s">
        <v>25</v>
      </c>
      <c r="J461" s="9" t="s">
        <v>21</v>
      </c>
      <c r="K461" s="9" t="s">
        <v>21</v>
      </c>
      <c r="L461" s="10">
        <v>45183</v>
      </c>
      <c r="M461" s="9">
        <f t="shared" ca="1" si="29"/>
        <v>2.6472222222222221</v>
      </c>
      <c r="N461" s="9">
        <v>3139</v>
      </c>
      <c r="O461" s="9" t="str">
        <f t="shared" si="30"/>
        <v>سبتمبر</v>
      </c>
      <c r="P461" s="7" t="str">
        <f t="shared" si="31"/>
        <v>راتب عالي</v>
      </c>
    </row>
    <row r="462" spans="1:16" x14ac:dyDescent="0.3">
      <c r="A462" s="7">
        <v>50397</v>
      </c>
      <c r="B462" s="7" t="s">
        <v>957</v>
      </c>
      <c r="C462" s="7" t="s">
        <v>958</v>
      </c>
      <c r="D462" s="7" t="s">
        <v>16</v>
      </c>
      <c r="E462" s="7" t="s">
        <v>17</v>
      </c>
      <c r="F462" s="8">
        <v>32523</v>
      </c>
      <c r="G462" s="7">
        <f t="shared" ca="1" si="28"/>
        <v>37.31111111111111</v>
      </c>
      <c r="H462" s="7" t="s">
        <v>36</v>
      </c>
      <c r="I462" s="7" t="s">
        <v>25</v>
      </c>
      <c r="J462" s="7" t="s">
        <v>31</v>
      </c>
      <c r="K462" s="7" t="s">
        <v>31</v>
      </c>
      <c r="L462" s="8">
        <v>45184</v>
      </c>
      <c r="M462" s="7">
        <f t="shared" ca="1" si="29"/>
        <v>2.6444444444444444</v>
      </c>
      <c r="N462" s="7">
        <v>4319</v>
      </c>
      <c r="O462" s="7" t="str">
        <f t="shared" si="30"/>
        <v>سبتمبر</v>
      </c>
      <c r="P462" s="7" t="str">
        <f t="shared" si="31"/>
        <v>راتب عالي</v>
      </c>
    </row>
    <row r="463" spans="1:16" x14ac:dyDescent="0.3">
      <c r="A463" s="9">
        <v>54295</v>
      </c>
      <c r="B463" s="9" t="s">
        <v>959</v>
      </c>
      <c r="C463" s="9" t="s">
        <v>960</v>
      </c>
      <c r="D463" s="9" t="s">
        <v>43</v>
      </c>
      <c r="E463" s="9" t="s">
        <v>35</v>
      </c>
      <c r="F463" s="10">
        <v>36108</v>
      </c>
      <c r="G463" s="7">
        <f t="shared" ca="1" si="28"/>
        <v>27.494444444444444</v>
      </c>
      <c r="H463" s="9" t="s">
        <v>18</v>
      </c>
      <c r="I463" s="9" t="s">
        <v>25</v>
      </c>
      <c r="J463" s="9" t="s">
        <v>27</v>
      </c>
      <c r="K463" s="9" t="s">
        <v>26</v>
      </c>
      <c r="L463" s="10">
        <v>45185</v>
      </c>
      <c r="M463" s="9">
        <f t="shared" ca="1" si="29"/>
        <v>2.6416666666666666</v>
      </c>
      <c r="N463" s="9">
        <v>4020</v>
      </c>
      <c r="O463" s="9" t="str">
        <f t="shared" si="30"/>
        <v>سبتمبر</v>
      </c>
      <c r="P463" s="7" t="str">
        <f t="shared" si="31"/>
        <v>راتب عالي</v>
      </c>
    </row>
    <row r="464" spans="1:16" x14ac:dyDescent="0.3">
      <c r="A464" s="7">
        <v>50723</v>
      </c>
      <c r="B464" s="7" t="s">
        <v>961</v>
      </c>
      <c r="C464" s="7" t="s">
        <v>962</v>
      </c>
      <c r="D464" s="7" t="s">
        <v>66</v>
      </c>
      <c r="E464" s="7" t="s">
        <v>17</v>
      </c>
      <c r="F464" s="8">
        <v>32601</v>
      </c>
      <c r="G464" s="7">
        <f t="shared" ca="1" si="28"/>
        <v>37.094444444444441</v>
      </c>
      <c r="H464" s="7" t="s">
        <v>18</v>
      </c>
      <c r="I464" s="7" t="s">
        <v>25</v>
      </c>
      <c r="J464" s="7" t="s">
        <v>27</v>
      </c>
      <c r="K464" s="7" t="s">
        <v>27</v>
      </c>
      <c r="L464" s="8">
        <v>45186</v>
      </c>
      <c r="M464" s="7">
        <f t="shared" ca="1" si="29"/>
        <v>2.6388888888888888</v>
      </c>
      <c r="N464" s="7">
        <v>6857</v>
      </c>
      <c r="O464" s="7" t="str">
        <f t="shared" si="30"/>
        <v>سبتمبر</v>
      </c>
      <c r="P464" s="7" t="str">
        <f t="shared" si="31"/>
        <v>راتب طبيعي</v>
      </c>
    </row>
    <row r="465" spans="1:16" x14ac:dyDescent="0.3">
      <c r="A465" s="9">
        <v>52517</v>
      </c>
      <c r="B465" s="9" t="s">
        <v>963</v>
      </c>
      <c r="C465" s="9" t="s">
        <v>964</v>
      </c>
      <c r="D465" s="9" t="s">
        <v>16</v>
      </c>
      <c r="E465" s="9" t="s">
        <v>17</v>
      </c>
      <c r="F465" s="10">
        <v>37322</v>
      </c>
      <c r="G465" s="7">
        <f t="shared" ca="1" si="28"/>
        <v>24.166666666666668</v>
      </c>
      <c r="H465" s="9" t="s">
        <v>36</v>
      </c>
      <c r="I465" s="9" t="s">
        <v>25</v>
      </c>
      <c r="J465" s="9" t="s">
        <v>27</v>
      </c>
      <c r="K465" s="9" t="s">
        <v>26</v>
      </c>
      <c r="L465" s="10">
        <v>45187</v>
      </c>
      <c r="M465" s="9">
        <f t="shared" ca="1" si="29"/>
        <v>2.6361111111111111</v>
      </c>
      <c r="N465" s="9">
        <v>4262</v>
      </c>
      <c r="O465" s="9" t="str">
        <f t="shared" si="30"/>
        <v>سبتمبر</v>
      </c>
      <c r="P465" s="7" t="str">
        <f t="shared" si="31"/>
        <v>راتب عالي</v>
      </c>
    </row>
    <row r="466" spans="1:16" x14ac:dyDescent="0.3">
      <c r="A466" s="7">
        <v>56899</v>
      </c>
      <c r="B466" s="7" t="s">
        <v>965</v>
      </c>
      <c r="C466" s="7" t="s">
        <v>966</v>
      </c>
      <c r="D466" s="7" t="s">
        <v>95</v>
      </c>
      <c r="E466" s="7" t="s">
        <v>17</v>
      </c>
      <c r="F466" s="8">
        <v>32448</v>
      </c>
      <c r="G466" s="7">
        <f t="shared" ca="1" si="28"/>
        <v>37.516666666666666</v>
      </c>
      <c r="H466" s="7" t="s">
        <v>18</v>
      </c>
      <c r="I466" s="7" t="s">
        <v>46</v>
      </c>
      <c r="J466" s="7" t="s">
        <v>31</v>
      </c>
      <c r="K466" s="7" t="s">
        <v>26</v>
      </c>
      <c r="L466" s="8">
        <v>45188</v>
      </c>
      <c r="M466" s="7">
        <f t="shared" ca="1" si="29"/>
        <v>2.6333333333333333</v>
      </c>
      <c r="N466" s="7">
        <v>13451</v>
      </c>
      <c r="O466" s="7" t="str">
        <f t="shared" si="30"/>
        <v>سبتمبر</v>
      </c>
      <c r="P466" s="7" t="str">
        <f t="shared" si="31"/>
        <v>راتب طبيعي</v>
      </c>
    </row>
    <row r="467" spans="1:16" x14ac:dyDescent="0.3">
      <c r="A467" s="9">
        <v>54679</v>
      </c>
      <c r="B467" s="9" t="s">
        <v>967</v>
      </c>
      <c r="C467" s="9" t="s">
        <v>968</v>
      </c>
      <c r="D467" s="9" t="s">
        <v>95</v>
      </c>
      <c r="E467" s="9" t="s">
        <v>17</v>
      </c>
      <c r="F467" s="10">
        <v>33068</v>
      </c>
      <c r="G467" s="7">
        <f t="shared" ca="1" si="28"/>
        <v>35.81388888888889</v>
      </c>
      <c r="H467" s="9" t="s">
        <v>18</v>
      </c>
      <c r="I467" s="9" t="s">
        <v>19</v>
      </c>
      <c r="J467" s="9" t="s">
        <v>21</v>
      </c>
      <c r="K467" s="9" t="s">
        <v>31</v>
      </c>
      <c r="L467" s="10">
        <v>45189</v>
      </c>
      <c r="M467" s="9">
        <f t="shared" ca="1" si="29"/>
        <v>2.6305555555555555</v>
      </c>
      <c r="N467" s="9">
        <v>22335</v>
      </c>
      <c r="O467" s="9" t="str">
        <f t="shared" si="30"/>
        <v>سبتمبر</v>
      </c>
      <c r="P467" s="7" t="str">
        <f t="shared" si="31"/>
        <v>راتب طبيعي</v>
      </c>
    </row>
    <row r="468" spans="1:16" x14ac:dyDescent="0.3">
      <c r="A468" s="7">
        <v>51301</v>
      </c>
      <c r="B468" s="7" t="s">
        <v>969</v>
      </c>
      <c r="C468" s="7" t="s">
        <v>970</v>
      </c>
      <c r="D468" s="7" t="s">
        <v>34</v>
      </c>
      <c r="E468" s="7" t="s">
        <v>17</v>
      </c>
      <c r="F468" s="8">
        <v>32151</v>
      </c>
      <c r="G468" s="7">
        <f t="shared" ca="1" si="28"/>
        <v>38.327777777777776</v>
      </c>
      <c r="H468" s="7" t="s">
        <v>18</v>
      </c>
      <c r="I468" s="7" t="s">
        <v>25</v>
      </c>
      <c r="J468" s="7" t="s">
        <v>26</v>
      </c>
      <c r="K468" s="7" t="s">
        <v>31</v>
      </c>
      <c r="L468" s="8">
        <v>45190</v>
      </c>
      <c r="M468" s="7">
        <f t="shared" ca="1" si="29"/>
        <v>2.6277777777777778</v>
      </c>
      <c r="N468" s="7">
        <v>3133</v>
      </c>
      <c r="O468" s="7" t="str">
        <f t="shared" si="30"/>
        <v>سبتمبر</v>
      </c>
      <c r="P468" s="7" t="str">
        <f t="shared" si="31"/>
        <v>راتب عالي</v>
      </c>
    </row>
    <row r="469" spans="1:16" x14ac:dyDescent="0.3">
      <c r="A469" s="9">
        <v>51069</v>
      </c>
      <c r="B469" s="9" t="s">
        <v>971</v>
      </c>
      <c r="C469" s="9" t="s">
        <v>972</v>
      </c>
      <c r="D469" s="9" t="s">
        <v>146</v>
      </c>
      <c r="E469" s="9" t="s">
        <v>17</v>
      </c>
      <c r="F469" s="10">
        <v>34183</v>
      </c>
      <c r="G469" s="7">
        <f t="shared" ca="1" si="28"/>
        <v>32.763888888888886</v>
      </c>
      <c r="H469" s="9" t="s">
        <v>36</v>
      </c>
      <c r="I469" s="9" t="s">
        <v>25</v>
      </c>
      <c r="J469" s="9" t="s">
        <v>21</v>
      </c>
      <c r="K469" s="9" t="s">
        <v>26</v>
      </c>
      <c r="L469" s="10">
        <v>45191</v>
      </c>
      <c r="M469" s="9">
        <f t="shared" ca="1" si="29"/>
        <v>2.625</v>
      </c>
      <c r="N469" s="9">
        <v>5884</v>
      </c>
      <c r="O469" s="9" t="str">
        <f t="shared" si="30"/>
        <v>سبتمبر</v>
      </c>
      <c r="P469" s="7" t="str">
        <f t="shared" si="31"/>
        <v>راتب عالي</v>
      </c>
    </row>
    <row r="470" spans="1:16" x14ac:dyDescent="0.3">
      <c r="A470" s="7">
        <v>54671</v>
      </c>
      <c r="B470" s="7" t="s">
        <v>973</v>
      </c>
      <c r="C470" s="7" t="s">
        <v>974</v>
      </c>
      <c r="D470" s="7" t="s">
        <v>53</v>
      </c>
      <c r="E470" s="7" t="s">
        <v>35</v>
      </c>
      <c r="F470" s="8">
        <v>31763</v>
      </c>
      <c r="G470" s="7">
        <f t="shared" ca="1" si="28"/>
        <v>39.388888888888886</v>
      </c>
      <c r="H470" s="7" t="s">
        <v>36</v>
      </c>
      <c r="I470" s="7" t="s">
        <v>19</v>
      </c>
      <c r="J470" s="7" t="s">
        <v>31</v>
      </c>
      <c r="K470" s="7" t="s">
        <v>21</v>
      </c>
      <c r="L470" s="8">
        <v>45192</v>
      </c>
      <c r="M470" s="7">
        <f t="shared" ca="1" si="29"/>
        <v>2.6222222222222222</v>
      </c>
      <c r="N470" s="7">
        <v>27871</v>
      </c>
      <c r="O470" s="7" t="str">
        <f t="shared" si="30"/>
        <v>سبتمبر</v>
      </c>
      <c r="P470" s="7" t="str">
        <f t="shared" si="31"/>
        <v>راتب طبيعي</v>
      </c>
    </row>
    <row r="471" spans="1:16" x14ac:dyDescent="0.3">
      <c r="A471" s="9">
        <v>51724</v>
      </c>
      <c r="B471" s="9" t="s">
        <v>975</v>
      </c>
      <c r="C471" s="9" t="s">
        <v>976</v>
      </c>
      <c r="D471" s="9" t="s">
        <v>95</v>
      </c>
      <c r="E471" s="9" t="s">
        <v>17</v>
      </c>
      <c r="F471" s="10">
        <v>30235</v>
      </c>
      <c r="G471" s="7">
        <f t="shared" ca="1" si="28"/>
        <v>43.572222222222223</v>
      </c>
      <c r="H471" s="9" t="s">
        <v>18</v>
      </c>
      <c r="I471" s="9" t="s">
        <v>25</v>
      </c>
      <c r="J471" s="9" t="s">
        <v>27</v>
      </c>
      <c r="K471" s="9" t="s">
        <v>20</v>
      </c>
      <c r="L471" s="10">
        <v>45193</v>
      </c>
      <c r="M471" s="9">
        <f t="shared" ca="1" si="29"/>
        <v>2.6194444444444445</v>
      </c>
      <c r="N471" s="9">
        <v>6115</v>
      </c>
      <c r="O471" s="9" t="str">
        <f t="shared" si="30"/>
        <v>سبتمبر</v>
      </c>
      <c r="P471" s="7" t="str">
        <f t="shared" si="31"/>
        <v>راتب طبيعي</v>
      </c>
    </row>
    <row r="472" spans="1:16" x14ac:dyDescent="0.3">
      <c r="A472" s="7">
        <v>59766</v>
      </c>
      <c r="B472" s="7" t="s">
        <v>977</v>
      </c>
      <c r="C472" s="7" t="s">
        <v>978</v>
      </c>
      <c r="D472" s="7" t="s">
        <v>66</v>
      </c>
      <c r="E472" s="7" t="s">
        <v>35</v>
      </c>
      <c r="F472" s="8">
        <v>30749</v>
      </c>
      <c r="G472" s="7">
        <f t="shared" ca="1" si="28"/>
        <v>42.163888888888891</v>
      </c>
      <c r="H472" s="7" t="s">
        <v>18</v>
      </c>
      <c r="I472" s="7" t="s">
        <v>25</v>
      </c>
      <c r="J472" s="7" t="s">
        <v>31</v>
      </c>
      <c r="K472" s="7" t="s">
        <v>37</v>
      </c>
      <c r="L472" s="8">
        <v>45194</v>
      </c>
      <c r="M472" s="7">
        <f t="shared" ca="1" si="29"/>
        <v>2.6166666666666667</v>
      </c>
      <c r="N472" s="7">
        <v>3067</v>
      </c>
      <c r="O472" s="7" t="str">
        <f t="shared" si="30"/>
        <v>سبتمبر</v>
      </c>
      <c r="P472" s="7" t="str">
        <f t="shared" si="31"/>
        <v>راتب عالي</v>
      </c>
    </row>
    <row r="473" spans="1:16" x14ac:dyDescent="0.3">
      <c r="A473" s="9">
        <v>55151</v>
      </c>
      <c r="B473" s="9" t="s">
        <v>979</v>
      </c>
      <c r="C473" s="9" t="s">
        <v>980</v>
      </c>
      <c r="D473" s="9" t="s">
        <v>146</v>
      </c>
      <c r="E473" s="9" t="s">
        <v>17</v>
      </c>
      <c r="F473" s="10">
        <v>36506</v>
      </c>
      <c r="G473" s="7">
        <f t="shared" ca="1" si="28"/>
        <v>26.402777777777779</v>
      </c>
      <c r="H473" s="9" t="s">
        <v>18</v>
      </c>
      <c r="I473" s="9" t="s">
        <v>46</v>
      </c>
      <c r="J473" s="9" t="s">
        <v>20</v>
      </c>
      <c r="K473" s="9" t="s">
        <v>20</v>
      </c>
      <c r="L473" s="10">
        <v>45195</v>
      </c>
      <c r="M473" s="9">
        <f t="shared" ca="1" si="29"/>
        <v>2.6138888888888889</v>
      </c>
      <c r="N473" s="9">
        <v>13327</v>
      </c>
      <c r="O473" s="9" t="str">
        <f t="shared" si="30"/>
        <v>سبتمبر</v>
      </c>
      <c r="P473" s="7" t="str">
        <f t="shared" si="31"/>
        <v>راتب طبيعي</v>
      </c>
    </row>
    <row r="474" spans="1:16" x14ac:dyDescent="0.3">
      <c r="A474" s="7">
        <v>52834</v>
      </c>
      <c r="B474" s="7" t="s">
        <v>981</v>
      </c>
      <c r="C474" s="7" t="s">
        <v>982</v>
      </c>
      <c r="D474" s="7" t="s">
        <v>24</v>
      </c>
      <c r="E474" s="7" t="s">
        <v>17</v>
      </c>
      <c r="F474" s="8">
        <v>37129</v>
      </c>
      <c r="G474" s="7">
        <f t="shared" ca="1" si="28"/>
        <v>24.697222222222223</v>
      </c>
      <c r="H474" s="7" t="s">
        <v>18</v>
      </c>
      <c r="I474" s="7" t="s">
        <v>19</v>
      </c>
      <c r="J474" s="7" t="s">
        <v>26</v>
      </c>
      <c r="K474" s="7" t="s">
        <v>26</v>
      </c>
      <c r="L474" s="8">
        <v>45196</v>
      </c>
      <c r="M474" s="7">
        <f t="shared" ca="1" si="29"/>
        <v>2.6111111111111112</v>
      </c>
      <c r="N474" s="7">
        <v>26768</v>
      </c>
      <c r="O474" s="7" t="str">
        <f t="shared" si="30"/>
        <v>سبتمبر</v>
      </c>
      <c r="P474" s="7" t="str">
        <f t="shared" si="31"/>
        <v>راتب طبيعي</v>
      </c>
    </row>
    <row r="475" spans="1:16" x14ac:dyDescent="0.3">
      <c r="A475" s="9">
        <v>51915</v>
      </c>
      <c r="B475" s="9" t="s">
        <v>983</v>
      </c>
      <c r="C475" s="9" t="s">
        <v>984</v>
      </c>
      <c r="D475" s="9" t="s">
        <v>146</v>
      </c>
      <c r="E475" s="9" t="s">
        <v>35</v>
      </c>
      <c r="F475" s="10">
        <v>32212</v>
      </c>
      <c r="G475" s="7">
        <f t="shared" ca="1" si="28"/>
        <v>38.158333333333331</v>
      </c>
      <c r="H475" s="9" t="s">
        <v>36</v>
      </c>
      <c r="I475" s="9" t="s">
        <v>25</v>
      </c>
      <c r="J475" s="9" t="s">
        <v>20</v>
      </c>
      <c r="K475" s="9" t="s">
        <v>20</v>
      </c>
      <c r="L475" s="10">
        <v>45197</v>
      </c>
      <c r="M475" s="9">
        <f t="shared" ca="1" si="29"/>
        <v>2.6083333333333334</v>
      </c>
      <c r="N475" s="9">
        <v>3735</v>
      </c>
      <c r="O475" s="9" t="str">
        <f t="shared" si="30"/>
        <v>سبتمبر</v>
      </c>
      <c r="P475" s="7" t="str">
        <f t="shared" si="31"/>
        <v>راتب عالي</v>
      </c>
    </row>
    <row r="476" spans="1:16" x14ac:dyDescent="0.3">
      <c r="A476" s="7">
        <v>50295</v>
      </c>
      <c r="B476" s="7" t="s">
        <v>985</v>
      </c>
      <c r="C476" s="7" t="s">
        <v>986</v>
      </c>
      <c r="D476" s="7" t="s">
        <v>53</v>
      </c>
      <c r="E476" s="7" t="s">
        <v>35</v>
      </c>
      <c r="F476" s="8">
        <v>34596</v>
      </c>
      <c r="G476" s="7">
        <f t="shared" ca="1" si="28"/>
        <v>31.633333333333333</v>
      </c>
      <c r="H476" s="7" t="s">
        <v>18</v>
      </c>
      <c r="I476" s="7" t="s">
        <v>46</v>
      </c>
      <c r="J476" s="7" t="s">
        <v>26</v>
      </c>
      <c r="K476" s="7" t="s">
        <v>20</v>
      </c>
      <c r="L476" s="8">
        <v>45198</v>
      </c>
      <c r="M476" s="7">
        <f t="shared" ca="1" si="29"/>
        <v>2.6055555555555556</v>
      </c>
      <c r="N476" s="7">
        <v>12039</v>
      </c>
      <c r="O476" s="7" t="str">
        <f t="shared" si="30"/>
        <v>سبتمبر</v>
      </c>
      <c r="P476" s="7" t="str">
        <f t="shared" si="31"/>
        <v>راتب طبيعي</v>
      </c>
    </row>
    <row r="477" spans="1:16" x14ac:dyDescent="0.3">
      <c r="A477" s="9">
        <v>50128</v>
      </c>
      <c r="B477" s="9" t="s">
        <v>987</v>
      </c>
      <c r="C477" s="9" t="s">
        <v>988</v>
      </c>
      <c r="D477" s="9" t="s">
        <v>40</v>
      </c>
      <c r="E477" s="9" t="s">
        <v>17</v>
      </c>
      <c r="F477" s="10">
        <v>36366</v>
      </c>
      <c r="G477" s="7">
        <f t="shared" ca="1" si="28"/>
        <v>26.783333333333335</v>
      </c>
      <c r="H477" s="9" t="s">
        <v>36</v>
      </c>
      <c r="I477" s="9" t="s">
        <v>25</v>
      </c>
      <c r="J477" s="9" t="s">
        <v>31</v>
      </c>
      <c r="K477" s="9" t="s">
        <v>31</v>
      </c>
      <c r="L477" s="10">
        <v>45199</v>
      </c>
      <c r="M477" s="9">
        <f t="shared" ca="1" si="29"/>
        <v>2.6027777777777779</v>
      </c>
      <c r="N477" s="9">
        <v>4555</v>
      </c>
      <c r="O477" s="9" t="str">
        <f t="shared" si="30"/>
        <v>سبتمبر</v>
      </c>
      <c r="P477" s="7" t="str">
        <f t="shared" si="31"/>
        <v>راتب عالي</v>
      </c>
    </row>
    <row r="478" spans="1:16" x14ac:dyDescent="0.3">
      <c r="A478" s="7">
        <v>57195</v>
      </c>
      <c r="B478" s="7" t="s">
        <v>989</v>
      </c>
      <c r="C478" s="7" t="s">
        <v>990</v>
      </c>
      <c r="D478" s="7" t="s">
        <v>34</v>
      </c>
      <c r="E478" s="7" t="s">
        <v>35</v>
      </c>
      <c r="F478" s="8">
        <v>31999</v>
      </c>
      <c r="G478" s="7">
        <f t="shared" ca="1" si="28"/>
        <v>38.741666666666667</v>
      </c>
      <c r="H478" s="7" t="s">
        <v>36</v>
      </c>
      <c r="I478" s="7" t="s">
        <v>25</v>
      </c>
      <c r="J478" s="7" t="s">
        <v>21</v>
      </c>
      <c r="K478" s="7" t="s">
        <v>27</v>
      </c>
      <c r="L478" s="8">
        <v>45200</v>
      </c>
      <c r="M478" s="7">
        <f t="shared" ca="1" si="29"/>
        <v>2.6</v>
      </c>
      <c r="N478" s="7">
        <v>4225</v>
      </c>
      <c r="O478" s="7" t="str">
        <f t="shared" si="30"/>
        <v>أكتوبر</v>
      </c>
      <c r="P478" s="7" t="str">
        <f t="shared" si="31"/>
        <v>راتب عالي</v>
      </c>
    </row>
    <row r="479" spans="1:16" x14ac:dyDescent="0.3">
      <c r="A479" s="9">
        <v>54448</v>
      </c>
      <c r="B479" s="9" t="s">
        <v>991</v>
      </c>
      <c r="C479" s="9" t="s">
        <v>992</v>
      </c>
      <c r="D479" s="9" t="s">
        <v>146</v>
      </c>
      <c r="E479" s="9" t="s">
        <v>17</v>
      </c>
      <c r="F479" s="10">
        <v>37510</v>
      </c>
      <c r="G479" s="7">
        <f t="shared" ca="1" si="28"/>
        <v>23.655555555555555</v>
      </c>
      <c r="H479" s="9" t="s">
        <v>18</v>
      </c>
      <c r="I479" s="9" t="s">
        <v>19</v>
      </c>
      <c r="J479" s="9" t="s">
        <v>21</v>
      </c>
      <c r="K479" s="9" t="s">
        <v>31</v>
      </c>
      <c r="L479" s="10">
        <v>45201</v>
      </c>
      <c r="M479" s="9">
        <f t="shared" ca="1" si="29"/>
        <v>2.5972222222222223</v>
      </c>
      <c r="N479" s="9">
        <v>28064</v>
      </c>
      <c r="O479" s="9" t="str">
        <f t="shared" si="30"/>
        <v>أكتوبر</v>
      </c>
      <c r="P479" s="7" t="str">
        <f t="shared" si="31"/>
        <v>راتب طبيعي</v>
      </c>
    </row>
    <row r="480" spans="1:16" x14ac:dyDescent="0.3">
      <c r="A480" s="7">
        <v>53840</v>
      </c>
      <c r="B480" s="7" t="s">
        <v>993</v>
      </c>
      <c r="C480" s="7" t="s">
        <v>994</v>
      </c>
      <c r="D480" s="7" t="s">
        <v>43</v>
      </c>
      <c r="E480" s="7" t="s">
        <v>17</v>
      </c>
      <c r="F480" s="8">
        <v>35077</v>
      </c>
      <c r="G480" s="7">
        <f t="shared" ca="1" si="28"/>
        <v>30.316666666666666</v>
      </c>
      <c r="H480" s="7" t="s">
        <v>18</v>
      </c>
      <c r="I480" s="7" t="s">
        <v>25</v>
      </c>
      <c r="J480" s="7" t="s">
        <v>21</v>
      </c>
      <c r="K480" s="7" t="s">
        <v>27</v>
      </c>
      <c r="L480" s="8">
        <v>45202</v>
      </c>
      <c r="M480" s="7">
        <f t="shared" ca="1" si="29"/>
        <v>2.5944444444444446</v>
      </c>
      <c r="N480" s="7">
        <v>6586</v>
      </c>
      <c r="O480" s="7" t="str">
        <f t="shared" si="30"/>
        <v>أكتوبر</v>
      </c>
      <c r="P480" s="7" t="str">
        <f t="shared" si="31"/>
        <v>راتب طبيعي</v>
      </c>
    </row>
    <row r="481" spans="1:16" x14ac:dyDescent="0.3">
      <c r="A481" s="9">
        <v>56278</v>
      </c>
      <c r="B481" s="9" t="s">
        <v>995</v>
      </c>
      <c r="C481" s="9" t="s">
        <v>996</v>
      </c>
      <c r="D481" s="9" t="s">
        <v>40</v>
      </c>
      <c r="E481" s="9" t="s">
        <v>17</v>
      </c>
      <c r="F481" s="10">
        <v>33518</v>
      </c>
      <c r="G481" s="7">
        <f t="shared" ca="1" si="28"/>
        <v>34.583333333333336</v>
      </c>
      <c r="H481" s="9" t="s">
        <v>18</v>
      </c>
      <c r="I481" s="9" t="s">
        <v>25</v>
      </c>
      <c r="J481" s="9" t="s">
        <v>26</v>
      </c>
      <c r="K481" s="9" t="s">
        <v>21</v>
      </c>
      <c r="L481" s="10">
        <v>45203</v>
      </c>
      <c r="M481" s="9">
        <f t="shared" ca="1" si="29"/>
        <v>2.5916666666666668</v>
      </c>
      <c r="N481" s="9">
        <v>3204</v>
      </c>
      <c r="O481" s="9" t="str">
        <f t="shared" si="30"/>
        <v>أكتوبر</v>
      </c>
      <c r="P481" s="7" t="str">
        <f t="shared" si="31"/>
        <v>راتب عالي</v>
      </c>
    </row>
    <row r="482" spans="1:16" x14ac:dyDescent="0.3">
      <c r="A482" s="7">
        <v>55421</v>
      </c>
      <c r="B482" s="7" t="s">
        <v>997</v>
      </c>
      <c r="C482" s="7" t="s">
        <v>998</v>
      </c>
      <c r="D482" s="7" t="s">
        <v>66</v>
      </c>
      <c r="E482" s="7" t="s">
        <v>35</v>
      </c>
      <c r="F482" s="8">
        <v>33670</v>
      </c>
      <c r="G482" s="7">
        <f t="shared" ca="1" si="28"/>
        <v>34.166666666666664</v>
      </c>
      <c r="H482" s="7" t="s">
        <v>18</v>
      </c>
      <c r="I482" s="7" t="s">
        <v>25</v>
      </c>
      <c r="J482" s="7" t="s">
        <v>26</v>
      </c>
      <c r="K482" s="7" t="s">
        <v>26</v>
      </c>
      <c r="L482" s="8">
        <v>45204</v>
      </c>
      <c r="M482" s="7">
        <f t="shared" ca="1" si="29"/>
        <v>2.588888888888889</v>
      </c>
      <c r="N482" s="7">
        <v>5382</v>
      </c>
      <c r="O482" s="7" t="str">
        <f t="shared" si="30"/>
        <v>أكتوبر</v>
      </c>
      <c r="P482" s="7" t="str">
        <f t="shared" si="31"/>
        <v>راتب عالي</v>
      </c>
    </row>
    <row r="483" spans="1:16" x14ac:dyDescent="0.3">
      <c r="A483" s="9">
        <v>57212</v>
      </c>
      <c r="B483" s="9" t="s">
        <v>999</v>
      </c>
      <c r="C483" s="9" t="s">
        <v>1000</v>
      </c>
      <c r="D483" s="9" t="s">
        <v>146</v>
      </c>
      <c r="E483" s="9" t="s">
        <v>17</v>
      </c>
      <c r="F483" s="10">
        <v>32559</v>
      </c>
      <c r="G483" s="7">
        <f t="shared" ca="1" si="28"/>
        <v>37.213888888888889</v>
      </c>
      <c r="H483" s="9" t="s">
        <v>18</v>
      </c>
      <c r="I483" s="9" t="s">
        <v>25</v>
      </c>
      <c r="J483" s="9" t="s">
        <v>20</v>
      </c>
      <c r="K483" s="9" t="s">
        <v>26</v>
      </c>
      <c r="L483" s="10">
        <v>45205</v>
      </c>
      <c r="M483" s="9">
        <f t="shared" ca="1" si="29"/>
        <v>2.5861111111111112</v>
      </c>
      <c r="N483" s="9">
        <v>4548</v>
      </c>
      <c r="O483" s="9" t="str">
        <f t="shared" si="30"/>
        <v>أكتوبر</v>
      </c>
      <c r="P483" s="7" t="str">
        <f t="shared" si="31"/>
        <v>راتب عالي</v>
      </c>
    </row>
    <row r="484" spans="1:16" x14ac:dyDescent="0.3">
      <c r="A484" s="7">
        <v>59483</v>
      </c>
      <c r="B484" s="7" t="s">
        <v>1001</v>
      </c>
      <c r="C484" s="7" t="s">
        <v>1002</v>
      </c>
      <c r="D484" s="7" t="s">
        <v>34</v>
      </c>
      <c r="E484" s="7" t="s">
        <v>35</v>
      </c>
      <c r="F484" s="8">
        <v>30666</v>
      </c>
      <c r="G484" s="7">
        <f t="shared" ca="1" si="28"/>
        <v>42.391666666666666</v>
      </c>
      <c r="H484" s="7" t="s">
        <v>36</v>
      </c>
      <c r="I484" s="7" t="s">
        <v>25</v>
      </c>
      <c r="J484" s="7" t="s">
        <v>27</v>
      </c>
      <c r="K484" s="7" t="s">
        <v>27</v>
      </c>
      <c r="L484" s="8">
        <v>45206</v>
      </c>
      <c r="M484" s="7">
        <f t="shared" ca="1" si="29"/>
        <v>2.5833333333333335</v>
      </c>
      <c r="N484" s="7">
        <v>5978</v>
      </c>
      <c r="O484" s="7" t="str">
        <f t="shared" si="30"/>
        <v>أكتوبر</v>
      </c>
      <c r="P484" s="7" t="str">
        <f t="shared" si="31"/>
        <v>راتب طبيعي</v>
      </c>
    </row>
    <row r="485" spans="1:16" x14ac:dyDescent="0.3">
      <c r="A485" s="9">
        <v>56530</v>
      </c>
      <c r="B485" s="9" t="s">
        <v>1003</v>
      </c>
      <c r="C485" s="9" t="s">
        <v>1004</v>
      </c>
      <c r="D485" s="9" t="s">
        <v>24</v>
      </c>
      <c r="E485" s="9" t="s">
        <v>17</v>
      </c>
      <c r="F485" s="10">
        <v>35790</v>
      </c>
      <c r="G485" s="7">
        <f t="shared" ca="1" si="28"/>
        <v>28.363888888888887</v>
      </c>
      <c r="H485" s="9" t="s">
        <v>18</v>
      </c>
      <c r="I485" s="9" t="s">
        <v>25</v>
      </c>
      <c r="J485" s="9" t="s">
        <v>21</v>
      </c>
      <c r="K485" s="9" t="s">
        <v>20</v>
      </c>
      <c r="L485" s="10">
        <v>45207</v>
      </c>
      <c r="M485" s="9">
        <f t="shared" ca="1" si="29"/>
        <v>2.5805555555555557</v>
      </c>
      <c r="N485" s="9">
        <v>6314</v>
      </c>
      <c r="O485" s="9" t="str">
        <f t="shared" si="30"/>
        <v>أكتوبر</v>
      </c>
      <c r="P485" s="7" t="str">
        <f t="shared" si="31"/>
        <v>راتب طبيعي</v>
      </c>
    </row>
    <row r="486" spans="1:16" x14ac:dyDescent="0.3">
      <c r="A486" s="7">
        <v>58125</v>
      </c>
      <c r="B486" s="7" t="s">
        <v>1005</v>
      </c>
      <c r="C486" s="7" t="s">
        <v>1006</v>
      </c>
      <c r="D486" s="7" t="s">
        <v>53</v>
      </c>
      <c r="E486" s="7" t="s">
        <v>17</v>
      </c>
      <c r="F486" s="8">
        <v>37416</v>
      </c>
      <c r="G486" s="7">
        <f t="shared" ca="1" si="28"/>
        <v>23.911111111111111</v>
      </c>
      <c r="H486" s="7" t="s">
        <v>18</v>
      </c>
      <c r="I486" s="7" t="s">
        <v>25</v>
      </c>
      <c r="J486" s="7" t="s">
        <v>20</v>
      </c>
      <c r="K486" s="7" t="s">
        <v>26</v>
      </c>
      <c r="L486" s="8">
        <v>45208</v>
      </c>
      <c r="M486" s="7">
        <f t="shared" ca="1" si="29"/>
        <v>2.5777777777777779</v>
      </c>
      <c r="N486" s="7">
        <v>3713</v>
      </c>
      <c r="O486" s="7" t="str">
        <f t="shared" si="30"/>
        <v>أكتوبر</v>
      </c>
      <c r="P486" s="7" t="str">
        <f t="shared" si="31"/>
        <v>راتب عالي</v>
      </c>
    </row>
    <row r="487" spans="1:16" x14ac:dyDescent="0.3">
      <c r="A487" s="9">
        <v>52087</v>
      </c>
      <c r="B487" s="9" t="s">
        <v>1007</v>
      </c>
      <c r="C487" s="9" t="s">
        <v>1008</v>
      </c>
      <c r="D487" s="9" t="s">
        <v>43</v>
      </c>
      <c r="E487" s="9" t="s">
        <v>17</v>
      </c>
      <c r="F487" s="10">
        <v>34397</v>
      </c>
      <c r="G487" s="7">
        <f t="shared" ca="1" si="28"/>
        <v>32.174999999999997</v>
      </c>
      <c r="H487" s="9" t="s">
        <v>36</v>
      </c>
      <c r="I487" s="9" t="s">
        <v>25</v>
      </c>
      <c r="J487" s="9" t="s">
        <v>26</v>
      </c>
      <c r="K487" s="9" t="s">
        <v>21</v>
      </c>
      <c r="L487" s="10">
        <v>45209</v>
      </c>
      <c r="M487" s="9">
        <f t="shared" ca="1" si="29"/>
        <v>2.5750000000000002</v>
      </c>
      <c r="N487" s="9">
        <v>6152</v>
      </c>
      <c r="O487" s="9" t="str">
        <f t="shared" si="30"/>
        <v>أكتوبر</v>
      </c>
      <c r="P487" s="7" t="str">
        <f t="shared" si="31"/>
        <v>راتب طبيعي</v>
      </c>
    </row>
    <row r="488" spans="1:16" x14ac:dyDescent="0.3">
      <c r="A488" s="7">
        <v>57638</v>
      </c>
      <c r="B488" s="7" t="s">
        <v>1009</v>
      </c>
      <c r="C488" s="7" t="s">
        <v>1010</v>
      </c>
      <c r="D488" s="7" t="s">
        <v>146</v>
      </c>
      <c r="E488" s="7" t="s">
        <v>35</v>
      </c>
      <c r="F488" s="8">
        <v>37168</v>
      </c>
      <c r="G488" s="7">
        <f t="shared" ca="1" si="28"/>
        <v>24.591666666666665</v>
      </c>
      <c r="H488" s="7" t="s">
        <v>18</v>
      </c>
      <c r="I488" s="7" t="s">
        <v>19</v>
      </c>
      <c r="J488" s="7" t="s">
        <v>26</v>
      </c>
      <c r="K488" s="7" t="s">
        <v>26</v>
      </c>
      <c r="L488" s="8">
        <v>45210</v>
      </c>
      <c r="M488" s="7">
        <f t="shared" ca="1" si="29"/>
        <v>2.5722222222222224</v>
      </c>
      <c r="N488" s="7">
        <v>16318</v>
      </c>
      <c r="O488" s="7" t="str">
        <f t="shared" si="30"/>
        <v>أكتوبر</v>
      </c>
      <c r="P488" s="7" t="str">
        <f t="shared" si="31"/>
        <v>راتب طبيعي</v>
      </c>
    </row>
    <row r="489" spans="1:16" x14ac:dyDescent="0.3">
      <c r="A489" s="9">
        <v>58042</v>
      </c>
      <c r="B489" s="9" t="s">
        <v>1011</v>
      </c>
      <c r="C489" s="9" t="s">
        <v>1012</v>
      </c>
      <c r="D489" s="9" t="s">
        <v>40</v>
      </c>
      <c r="E489" s="9" t="s">
        <v>17</v>
      </c>
      <c r="F489" s="10">
        <v>35462</v>
      </c>
      <c r="G489" s="7">
        <f t="shared" ca="1" si="28"/>
        <v>29.266666666666666</v>
      </c>
      <c r="H489" s="9" t="s">
        <v>18</v>
      </c>
      <c r="I489" s="9" t="s">
        <v>25</v>
      </c>
      <c r="J489" s="9" t="s">
        <v>20</v>
      </c>
      <c r="K489" s="9" t="s">
        <v>26</v>
      </c>
      <c r="L489" s="10">
        <v>45211</v>
      </c>
      <c r="M489" s="9">
        <f t="shared" ca="1" si="29"/>
        <v>2.5694444444444446</v>
      </c>
      <c r="N489" s="9">
        <v>6488</v>
      </c>
      <c r="O489" s="9" t="str">
        <f t="shared" si="30"/>
        <v>أكتوبر</v>
      </c>
      <c r="P489" s="7" t="str">
        <f t="shared" si="31"/>
        <v>راتب طبيعي</v>
      </c>
    </row>
    <row r="490" spans="1:16" x14ac:dyDescent="0.3">
      <c r="A490" s="7">
        <v>59242</v>
      </c>
      <c r="B490" s="7" t="s">
        <v>1013</v>
      </c>
      <c r="C490" s="7" t="s">
        <v>1014</v>
      </c>
      <c r="D490" s="7" t="s">
        <v>34</v>
      </c>
      <c r="E490" s="7" t="s">
        <v>17</v>
      </c>
      <c r="F490" s="8">
        <v>32398</v>
      </c>
      <c r="G490" s="7">
        <f t="shared" ca="1" si="28"/>
        <v>37.652777777777779</v>
      </c>
      <c r="H490" s="7" t="s">
        <v>36</v>
      </c>
      <c r="I490" s="7" t="s">
        <v>25</v>
      </c>
      <c r="J490" s="7" t="s">
        <v>21</v>
      </c>
      <c r="K490" s="7" t="s">
        <v>21</v>
      </c>
      <c r="L490" s="8">
        <v>45212</v>
      </c>
      <c r="M490" s="7">
        <f t="shared" ca="1" si="29"/>
        <v>2.5666666666666669</v>
      </c>
      <c r="N490" s="7">
        <v>5325</v>
      </c>
      <c r="O490" s="7" t="str">
        <f t="shared" si="30"/>
        <v>أكتوبر</v>
      </c>
      <c r="P490" s="7" t="str">
        <f t="shared" si="31"/>
        <v>راتب عالي</v>
      </c>
    </row>
    <row r="491" spans="1:16" x14ac:dyDescent="0.3">
      <c r="A491" s="9">
        <v>52126</v>
      </c>
      <c r="B491" s="9" t="s">
        <v>1015</v>
      </c>
      <c r="C491" s="9" t="s">
        <v>1016</v>
      </c>
      <c r="D491" s="9" t="s">
        <v>95</v>
      </c>
      <c r="E491" s="9" t="s">
        <v>35</v>
      </c>
      <c r="F491" s="10">
        <v>31219</v>
      </c>
      <c r="G491" s="7">
        <f t="shared" ca="1" si="28"/>
        <v>40.87777777777778</v>
      </c>
      <c r="H491" s="9" t="s">
        <v>36</v>
      </c>
      <c r="I491" s="9" t="s">
        <v>25</v>
      </c>
      <c r="J491" s="9" t="s">
        <v>20</v>
      </c>
      <c r="K491" s="9" t="s">
        <v>37</v>
      </c>
      <c r="L491" s="10">
        <v>45213</v>
      </c>
      <c r="M491" s="9">
        <f t="shared" ca="1" si="29"/>
        <v>2.5638888888888891</v>
      </c>
      <c r="N491" s="9">
        <v>6800</v>
      </c>
      <c r="O491" s="9" t="str">
        <f t="shared" si="30"/>
        <v>أكتوبر</v>
      </c>
      <c r="P491" s="7" t="str">
        <f t="shared" si="31"/>
        <v>راتب طبيعي</v>
      </c>
    </row>
    <row r="492" spans="1:16" x14ac:dyDescent="0.3">
      <c r="A492" s="7">
        <v>54330</v>
      </c>
      <c r="B492" s="7" t="s">
        <v>1017</v>
      </c>
      <c r="C492" s="7" t="s">
        <v>1018</v>
      </c>
      <c r="D492" s="7" t="s">
        <v>43</v>
      </c>
      <c r="E492" s="7" t="s">
        <v>17</v>
      </c>
      <c r="F492" s="8">
        <v>29994</v>
      </c>
      <c r="G492" s="7">
        <f t="shared" ca="1" si="28"/>
        <v>44.236111111111114</v>
      </c>
      <c r="H492" s="7" t="s">
        <v>36</v>
      </c>
      <c r="I492" s="7" t="s">
        <v>46</v>
      </c>
      <c r="J492" s="7" t="s">
        <v>31</v>
      </c>
      <c r="K492" s="7" t="s">
        <v>21</v>
      </c>
      <c r="L492" s="8">
        <v>45214</v>
      </c>
      <c r="M492" s="7">
        <f t="shared" ca="1" si="29"/>
        <v>2.5611111111111109</v>
      </c>
      <c r="N492" s="7">
        <v>13849</v>
      </c>
      <c r="O492" s="7" t="str">
        <f t="shared" si="30"/>
        <v>أكتوبر</v>
      </c>
      <c r="P492" s="7" t="str">
        <f t="shared" si="31"/>
        <v>راتب طبيعي</v>
      </c>
    </row>
    <row r="493" spans="1:16" x14ac:dyDescent="0.3">
      <c r="A493" s="9">
        <v>59080</v>
      </c>
      <c r="B493" s="9" t="s">
        <v>1019</v>
      </c>
      <c r="C493" s="9" t="s">
        <v>1020</v>
      </c>
      <c r="D493" s="9" t="s">
        <v>16</v>
      </c>
      <c r="E493" s="9" t="s">
        <v>17</v>
      </c>
      <c r="F493" s="10">
        <v>34405</v>
      </c>
      <c r="G493" s="7">
        <f t="shared" ca="1" si="28"/>
        <v>32.152777777777779</v>
      </c>
      <c r="H493" s="9" t="s">
        <v>18</v>
      </c>
      <c r="I493" s="9" t="s">
        <v>25</v>
      </c>
      <c r="J493" s="9" t="s">
        <v>31</v>
      </c>
      <c r="K493" s="9" t="s">
        <v>20</v>
      </c>
      <c r="L493" s="10">
        <v>45215</v>
      </c>
      <c r="M493" s="9">
        <f t="shared" ca="1" si="29"/>
        <v>2.5583333333333331</v>
      </c>
      <c r="N493" s="9">
        <v>3472</v>
      </c>
      <c r="O493" s="9" t="str">
        <f t="shared" si="30"/>
        <v>أكتوبر</v>
      </c>
      <c r="P493" s="7" t="str">
        <f t="shared" si="31"/>
        <v>راتب عالي</v>
      </c>
    </row>
    <row r="494" spans="1:16" x14ac:dyDescent="0.3">
      <c r="A494" s="7">
        <v>53069</v>
      </c>
      <c r="B494" s="7" t="s">
        <v>1021</v>
      </c>
      <c r="C494" s="7" t="s">
        <v>1022</v>
      </c>
      <c r="D494" s="7" t="s">
        <v>40</v>
      </c>
      <c r="E494" s="7" t="s">
        <v>17</v>
      </c>
      <c r="F494" s="8">
        <v>37014</v>
      </c>
      <c r="G494" s="7">
        <f t="shared" ca="1" si="28"/>
        <v>25.011111111111113</v>
      </c>
      <c r="H494" s="7" t="s">
        <v>18</v>
      </c>
      <c r="I494" s="7" t="s">
        <v>19</v>
      </c>
      <c r="J494" s="7" t="s">
        <v>26</v>
      </c>
      <c r="K494" s="7" t="s">
        <v>26</v>
      </c>
      <c r="L494" s="8">
        <v>45216</v>
      </c>
      <c r="M494" s="7">
        <f t="shared" ca="1" si="29"/>
        <v>2.5555555555555554</v>
      </c>
      <c r="N494" s="7">
        <v>29992</v>
      </c>
      <c r="O494" s="7" t="str">
        <f t="shared" si="30"/>
        <v>أكتوبر</v>
      </c>
      <c r="P494" s="7" t="str">
        <f t="shared" si="31"/>
        <v>راتب طبيعي</v>
      </c>
    </row>
    <row r="495" spans="1:16" x14ac:dyDescent="0.3">
      <c r="A495" s="9">
        <v>52191</v>
      </c>
      <c r="B495" s="9" t="s">
        <v>1023</v>
      </c>
      <c r="C495" s="9" t="s">
        <v>1024</v>
      </c>
      <c r="D495" s="9" t="s">
        <v>43</v>
      </c>
      <c r="E495" s="9" t="s">
        <v>35</v>
      </c>
      <c r="F495" s="10">
        <v>31910</v>
      </c>
      <c r="G495" s="7">
        <f t="shared" ca="1" si="28"/>
        <v>38.983333333333334</v>
      </c>
      <c r="H495" s="9" t="s">
        <v>18</v>
      </c>
      <c r="I495" s="9" t="s">
        <v>19</v>
      </c>
      <c r="J495" s="9" t="s">
        <v>20</v>
      </c>
      <c r="K495" s="9" t="s">
        <v>20</v>
      </c>
      <c r="L495" s="10">
        <v>45217</v>
      </c>
      <c r="M495" s="9">
        <f t="shared" ca="1" si="29"/>
        <v>2.5527777777777776</v>
      </c>
      <c r="N495" s="9">
        <v>25325</v>
      </c>
      <c r="O495" s="9" t="str">
        <f t="shared" si="30"/>
        <v>أكتوبر</v>
      </c>
      <c r="P495" s="7" t="str">
        <f t="shared" si="31"/>
        <v>راتب طبيعي</v>
      </c>
    </row>
    <row r="496" spans="1:16" x14ac:dyDescent="0.3">
      <c r="A496" s="7">
        <v>56239</v>
      </c>
      <c r="B496" s="7" t="s">
        <v>1025</v>
      </c>
      <c r="C496" s="7" t="s">
        <v>1026</v>
      </c>
      <c r="D496" s="7" t="s">
        <v>66</v>
      </c>
      <c r="E496" s="7" t="s">
        <v>17</v>
      </c>
      <c r="F496" s="8">
        <v>30427</v>
      </c>
      <c r="G496" s="7">
        <f t="shared" ca="1" si="28"/>
        <v>43.044444444444444</v>
      </c>
      <c r="H496" s="7" t="s">
        <v>36</v>
      </c>
      <c r="I496" s="7" t="s">
        <v>25</v>
      </c>
      <c r="J496" s="7" t="s">
        <v>27</v>
      </c>
      <c r="K496" s="7" t="s">
        <v>31</v>
      </c>
      <c r="L496" s="8">
        <v>45218</v>
      </c>
      <c r="M496" s="7">
        <f t="shared" ca="1" si="29"/>
        <v>2.5499999999999998</v>
      </c>
      <c r="N496" s="7">
        <v>4815</v>
      </c>
      <c r="O496" s="7" t="str">
        <f t="shared" si="30"/>
        <v>أكتوبر</v>
      </c>
      <c r="P496" s="7" t="str">
        <f t="shared" si="31"/>
        <v>راتب عالي</v>
      </c>
    </row>
    <row r="497" spans="1:16" x14ac:dyDescent="0.3">
      <c r="A497" s="9">
        <v>51311</v>
      </c>
      <c r="B497" s="9" t="s">
        <v>1027</v>
      </c>
      <c r="C497" s="9" t="s">
        <v>1028</v>
      </c>
      <c r="D497" s="9" t="s">
        <v>16</v>
      </c>
      <c r="E497" s="9" t="s">
        <v>17</v>
      </c>
      <c r="F497" s="10">
        <v>31451</v>
      </c>
      <c r="G497" s="7">
        <f t="shared" ca="1" si="28"/>
        <v>40.24722222222222</v>
      </c>
      <c r="H497" s="9" t="s">
        <v>18</v>
      </c>
      <c r="I497" s="9" t="s">
        <v>25</v>
      </c>
      <c r="J497" s="9" t="s">
        <v>21</v>
      </c>
      <c r="K497" s="9" t="s">
        <v>20</v>
      </c>
      <c r="L497" s="10">
        <v>45219</v>
      </c>
      <c r="M497" s="9">
        <f t="shared" ca="1" si="29"/>
        <v>2.5472222222222221</v>
      </c>
      <c r="N497" s="9">
        <v>3912</v>
      </c>
      <c r="O497" s="9" t="str">
        <f t="shared" si="30"/>
        <v>أكتوبر</v>
      </c>
      <c r="P497" s="7" t="str">
        <f t="shared" si="31"/>
        <v>راتب عالي</v>
      </c>
    </row>
    <row r="498" spans="1:16" x14ac:dyDescent="0.3">
      <c r="A498" s="7">
        <v>56068</v>
      </c>
      <c r="B498" s="7" t="s">
        <v>1029</v>
      </c>
      <c r="C498" s="7" t="s">
        <v>1030</v>
      </c>
      <c r="D498" s="7" t="s">
        <v>66</v>
      </c>
      <c r="E498" s="7" t="s">
        <v>35</v>
      </c>
      <c r="F498" s="8">
        <v>30246</v>
      </c>
      <c r="G498" s="7">
        <f t="shared" ca="1" si="28"/>
        <v>43.541666666666664</v>
      </c>
      <c r="H498" s="7" t="s">
        <v>36</v>
      </c>
      <c r="I498" s="7" t="s">
        <v>25</v>
      </c>
      <c r="J498" s="7" t="s">
        <v>27</v>
      </c>
      <c r="K498" s="7" t="s">
        <v>26</v>
      </c>
      <c r="L498" s="8">
        <v>45220</v>
      </c>
      <c r="M498" s="7">
        <f t="shared" ca="1" si="29"/>
        <v>2.5444444444444443</v>
      </c>
      <c r="N498" s="7">
        <v>6119</v>
      </c>
      <c r="O498" s="7" t="str">
        <f t="shared" si="30"/>
        <v>أكتوبر</v>
      </c>
      <c r="P498" s="7" t="str">
        <f t="shared" si="31"/>
        <v>راتب طبيعي</v>
      </c>
    </row>
    <row r="499" spans="1:16" x14ac:dyDescent="0.3">
      <c r="A499" s="9">
        <v>59370</v>
      </c>
      <c r="B499" s="9" t="s">
        <v>1031</v>
      </c>
      <c r="C499" s="9" t="s">
        <v>1032</v>
      </c>
      <c r="D499" s="9" t="s">
        <v>66</v>
      </c>
      <c r="E499" s="9" t="s">
        <v>35</v>
      </c>
      <c r="F499" s="10">
        <v>31720</v>
      </c>
      <c r="G499" s="7">
        <f t="shared" ca="1" si="28"/>
        <v>39.508333333333333</v>
      </c>
      <c r="H499" s="9" t="s">
        <v>36</v>
      </c>
      <c r="I499" s="9" t="s">
        <v>46</v>
      </c>
      <c r="J499" s="9" t="s">
        <v>26</v>
      </c>
      <c r="K499" s="9" t="s">
        <v>20</v>
      </c>
      <c r="L499" s="10">
        <v>45221</v>
      </c>
      <c r="M499" s="9">
        <f t="shared" ca="1" si="29"/>
        <v>2.5416666666666665</v>
      </c>
      <c r="N499" s="9">
        <v>11784</v>
      </c>
      <c r="O499" s="9" t="str">
        <f t="shared" si="30"/>
        <v>أكتوبر</v>
      </c>
      <c r="P499" s="7" t="str">
        <f t="shared" si="31"/>
        <v>راتب طبيعي</v>
      </c>
    </row>
    <row r="500" spans="1:16" x14ac:dyDescent="0.3">
      <c r="A500" s="7">
        <v>58133</v>
      </c>
      <c r="B500" s="7" t="s">
        <v>1033</v>
      </c>
      <c r="C500" s="7" t="s">
        <v>1034</v>
      </c>
      <c r="D500" s="7" t="s">
        <v>146</v>
      </c>
      <c r="E500" s="7" t="s">
        <v>17</v>
      </c>
      <c r="F500" s="8">
        <v>32300</v>
      </c>
      <c r="G500" s="7">
        <f t="shared" ca="1" si="28"/>
        <v>37.919444444444444</v>
      </c>
      <c r="H500" s="7" t="s">
        <v>18</v>
      </c>
      <c r="I500" s="7" t="s">
        <v>46</v>
      </c>
      <c r="J500" s="7" t="s">
        <v>27</v>
      </c>
      <c r="K500" s="7" t="s">
        <v>37</v>
      </c>
      <c r="L500" s="8">
        <v>45222</v>
      </c>
      <c r="M500" s="7">
        <f t="shared" ca="1" si="29"/>
        <v>2.5388888888888888</v>
      </c>
      <c r="N500" s="7">
        <v>11626</v>
      </c>
      <c r="O500" s="7" t="str">
        <f t="shared" si="30"/>
        <v>أكتوبر</v>
      </c>
      <c r="P500" s="7" t="str">
        <f t="shared" si="31"/>
        <v>راتب طبيعي</v>
      </c>
    </row>
    <row r="501" spans="1:16" x14ac:dyDescent="0.3">
      <c r="A501" s="9">
        <v>59582</v>
      </c>
      <c r="B501" s="9" t="s">
        <v>1035</v>
      </c>
      <c r="C501" s="9" t="s">
        <v>1036</v>
      </c>
      <c r="D501" s="9" t="s">
        <v>16</v>
      </c>
      <c r="E501" s="9" t="s">
        <v>35</v>
      </c>
      <c r="F501" s="10">
        <v>35271</v>
      </c>
      <c r="G501" s="7">
        <f t="shared" ca="1" si="28"/>
        <v>29.783333333333335</v>
      </c>
      <c r="H501" s="9" t="s">
        <v>18</v>
      </c>
      <c r="I501" s="9" t="s">
        <v>19</v>
      </c>
      <c r="J501" s="9" t="s">
        <v>27</v>
      </c>
      <c r="K501" s="9" t="s">
        <v>31</v>
      </c>
      <c r="L501" s="10">
        <v>45223</v>
      </c>
      <c r="M501" s="9">
        <f t="shared" ca="1" si="29"/>
        <v>2.536111111111111</v>
      </c>
      <c r="N501" s="9">
        <v>22145</v>
      </c>
      <c r="O501" s="9" t="str">
        <f t="shared" si="30"/>
        <v>أكتوبر</v>
      </c>
      <c r="P501" s="7" t="str">
        <f t="shared" si="31"/>
        <v>راتب طبيعي</v>
      </c>
    </row>
    <row r="502" spans="1:16" x14ac:dyDescent="0.3">
      <c r="A502" s="7">
        <v>58472</v>
      </c>
      <c r="B502" s="7" t="s">
        <v>1037</v>
      </c>
      <c r="C502" s="7" t="s">
        <v>1038</v>
      </c>
      <c r="D502" s="7" t="s">
        <v>34</v>
      </c>
      <c r="E502" s="7" t="s">
        <v>35</v>
      </c>
      <c r="F502" s="8">
        <v>31022</v>
      </c>
      <c r="G502" s="7">
        <f t="shared" ca="1" si="28"/>
        <v>41.419444444444444</v>
      </c>
      <c r="H502" s="7" t="s">
        <v>36</v>
      </c>
      <c r="I502" s="7" t="s">
        <v>46</v>
      </c>
      <c r="J502" s="7" t="s">
        <v>26</v>
      </c>
      <c r="K502" s="7" t="s">
        <v>31</v>
      </c>
      <c r="L502" s="8">
        <v>45224</v>
      </c>
      <c r="M502" s="7">
        <f t="shared" ca="1" si="29"/>
        <v>2.5333333333333332</v>
      </c>
      <c r="N502" s="7">
        <v>12634</v>
      </c>
      <c r="O502" s="7" t="str">
        <f t="shared" si="30"/>
        <v>أكتوبر</v>
      </c>
      <c r="P502" s="7" t="str">
        <f t="shared" si="31"/>
        <v>راتب طبيعي</v>
      </c>
    </row>
    <row r="503" spans="1:16" x14ac:dyDescent="0.3">
      <c r="A503" s="9">
        <v>57030</v>
      </c>
      <c r="B503" s="9" t="s">
        <v>1039</v>
      </c>
      <c r="C503" s="9" t="s">
        <v>1040</v>
      </c>
      <c r="D503" s="9" t="s">
        <v>40</v>
      </c>
      <c r="E503" s="9" t="s">
        <v>17</v>
      </c>
      <c r="F503" s="10">
        <v>34434</v>
      </c>
      <c r="G503" s="7">
        <f t="shared" ca="1" si="28"/>
        <v>32.075000000000003</v>
      </c>
      <c r="H503" s="9" t="s">
        <v>36</v>
      </c>
      <c r="I503" s="9" t="s">
        <v>25</v>
      </c>
      <c r="J503" s="9" t="s">
        <v>31</v>
      </c>
      <c r="K503" s="9" t="s">
        <v>21</v>
      </c>
      <c r="L503" s="10">
        <v>45225</v>
      </c>
      <c r="M503" s="9">
        <f t="shared" ca="1" si="29"/>
        <v>2.5305555555555554</v>
      </c>
      <c r="N503" s="9">
        <v>5638</v>
      </c>
      <c r="O503" s="9" t="str">
        <f t="shared" si="30"/>
        <v>أكتوبر</v>
      </c>
      <c r="P503" s="7" t="str">
        <f t="shared" si="31"/>
        <v>راتب عالي</v>
      </c>
    </row>
    <row r="504" spans="1:16" x14ac:dyDescent="0.3">
      <c r="A504" s="7">
        <v>57638</v>
      </c>
      <c r="B504" s="7" t="s">
        <v>1041</v>
      </c>
      <c r="C504" s="7" t="s">
        <v>1042</v>
      </c>
      <c r="D504" s="7" t="s">
        <v>30</v>
      </c>
      <c r="E504" s="7" t="s">
        <v>17</v>
      </c>
      <c r="F504" s="8">
        <v>31856</v>
      </c>
      <c r="G504" s="7">
        <f t="shared" ca="1" si="28"/>
        <v>39.130555555555553</v>
      </c>
      <c r="H504" s="7" t="s">
        <v>18</v>
      </c>
      <c r="I504" s="7" t="s">
        <v>46</v>
      </c>
      <c r="J504" s="7" t="s">
        <v>27</v>
      </c>
      <c r="K504" s="7" t="s">
        <v>21</v>
      </c>
      <c r="L504" s="8">
        <v>45226</v>
      </c>
      <c r="M504" s="7">
        <f t="shared" ca="1" si="29"/>
        <v>2.5277777777777777</v>
      </c>
      <c r="N504" s="7">
        <v>12435</v>
      </c>
      <c r="O504" s="7" t="str">
        <f t="shared" si="30"/>
        <v>أكتوبر</v>
      </c>
      <c r="P504" s="7" t="str">
        <f t="shared" si="31"/>
        <v>راتب طبيعي</v>
      </c>
    </row>
    <row r="505" spans="1:16" x14ac:dyDescent="0.3">
      <c r="A505" s="9">
        <v>51826</v>
      </c>
      <c r="B505" s="9" t="s">
        <v>1043</v>
      </c>
      <c r="C505" s="9" t="s">
        <v>1044</v>
      </c>
      <c r="D505" s="9" t="s">
        <v>146</v>
      </c>
      <c r="E505" s="9" t="s">
        <v>35</v>
      </c>
      <c r="F505" s="10">
        <v>31841</v>
      </c>
      <c r="G505" s="7">
        <f t="shared" ca="1" si="28"/>
        <v>39.172222222222224</v>
      </c>
      <c r="H505" s="9" t="s">
        <v>18</v>
      </c>
      <c r="I505" s="9" t="s">
        <v>25</v>
      </c>
      <c r="J505" s="9" t="s">
        <v>27</v>
      </c>
      <c r="K505" s="9" t="s">
        <v>26</v>
      </c>
      <c r="L505" s="10">
        <v>45227</v>
      </c>
      <c r="M505" s="9">
        <f t="shared" ca="1" si="29"/>
        <v>2.5249999999999999</v>
      </c>
      <c r="N505" s="9">
        <v>4116</v>
      </c>
      <c r="O505" s="9" t="str">
        <f t="shared" si="30"/>
        <v>أكتوبر</v>
      </c>
      <c r="P505" s="7" t="str">
        <f t="shared" si="31"/>
        <v>راتب عالي</v>
      </c>
    </row>
    <row r="506" spans="1:16" x14ac:dyDescent="0.3">
      <c r="A506" s="7">
        <v>55122</v>
      </c>
      <c r="B506" s="7" t="s">
        <v>1045</v>
      </c>
      <c r="C506" s="7" t="s">
        <v>1046</v>
      </c>
      <c r="D506" s="7" t="s">
        <v>53</v>
      </c>
      <c r="E506" s="7" t="s">
        <v>17</v>
      </c>
      <c r="F506" s="8">
        <v>31343</v>
      </c>
      <c r="G506" s="7">
        <f t="shared" ca="1" si="28"/>
        <v>40.538888888888891</v>
      </c>
      <c r="H506" s="7" t="s">
        <v>18</v>
      </c>
      <c r="I506" s="7" t="s">
        <v>25</v>
      </c>
      <c r="J506" s="7" t="s">
        <v>21</v>
      </c>
      <c r="K506" s="7" t="s">
        <v>26</v>
      </c>
      <c r="L506" s="8">
        <v>45228</v>
      </c>
      <c r="M506" s="7">
        <f t="shared" ca="1" si="29"/>
        <v>2.5222222222222221</v>
      </c>
      <c r="N506" s="7">
        <v>5172</v>
      </c>
      <c r="O506" s="7" t="str">
        <f t="shared" si="30"/>
        <v>أكتوبر</v>
      </c>
      <c r="P506" s="7" t="str">
        <f t="shared" si="31"/>
        <v>راتب عالي</v>
      </c>
    </row>
    <row r="507" spans="1:16" x14ac:dyDescent="0.3">
      <c r="A507" s="9">
        <v>57276</v>
      </c>
      <c r="B507" s="9" t="s">
        <v>1047</v>
      </c>
      <c r="C507" s="9" t="s">
        <v>1048</v>
      </c>
      <c r="D507" s="9" t="s">
        <v>30</v>
      </c>
      <c r="E507" s="9" t="s">
        <v>35</v>
      </c>
      <c r="F507" s="10">
        <v>34814</v>
      </c>
      <c r="G507" s="7">
        <f t="shared" ca="1" si="28"/>
        <v>31.033333333333335</v>
      </c>
      <c r="H507" s="9" t="s">
        <v>18</v>
      </c>
      <c r="I507" s="9" t="s">
        <v>25</v>
      </c>
      <c r="J507" s="9" t="s">
        <v>20</v>
      </c>
      <c r="K507" s="9" t="s">
        <v>37</v>
      </c>
      <c r="L507" s="10">
        <v>45229</v>
      </c>
      <c r="M507" s="9">
        <f t="shared" ca="1" si="29"/>
        <v>2.5194444444444444</v>
      </c>
      <c r="N507" s="9">
        <v>5390</v>
      </c>
      <c r="O507" s="9" t="str">
        <f t="shared" si="30"/>
        <v>أكتوبر</v>
      </c>
      <c r="P507" s="7" t="str">
        <f t="shared" si="31"/>
        <v>راتب عالي</v>
      </c>
    </row>
    <row r="508" spans="1:16" x14ac:dyDescent="0.3">
      <c r="A508" s="7">
        <v>56295</v>
      </c>
      <c r="B508" s="7" t="s">
        <v>1049</v>
      </c>
      <c r="C508" s="7" t="s">
        <v>1050</v>
      </c>
      <c r="D508" s="7" t="s">
        <v>43</v>
      </c>
      <c r="E508" s="7" t="s">
        <v>17</v>
      </c>
      <c r="F508" s="8">
        <v>32011</v>
      </c>
      <c r="G508" s="7">
        <f t="shared" ca="1" si="28"/>
        <v>38.708333333333336</v>
      </c>
      <c r="H508" s="7" t="s">
        <v>18</v>
      </c>
      <c r="I508" s="7" t="s">
        <v>25</v>
      </c>
      <c r="J508" s="7" t="s">
        <v>26</v>
      </c>
      <c r="K508" s="7" t="s">
        <v>26</v>
      </c>
      <c r="L508" s="8">
        <v>45230</v>
      </c>
      <c r="M508" s="7">
        <f t="shared" ca="1" si="29"/>
        <v>2.5194444444444444</v>
      </c>
      <c r="N508" s="7">
        <v>3212</v>
      </c>
      <c r="O508" s="7" t="str">
        <f t="shared" si="30"/>
        <v>أكتوبر</v>
      </c>
      <c r="P508" s="7" t="str">
        <f t="shared" si="31"/>
        <v>راتب عالي</v>
      </c>
    </row>
    <row r="509" spans="1:16" x14ac:dyDescent="0.3">
      <c r="A509" s="9">
        <v>51876</v>
      </c>
      <c r="B509" s="9" t="s">
        <v>1051</v>
      </c>
      <c r="C509" s="9" t="s">
        <v>1052</v>
      </c>
      <c r="D509" s="9" t="s">
        <v>66</v>
      </c>
      <c r="E509" s="9" t="s">
        <v>17</v>
      </c>
      <c r="F509" s="10">
        <v>35678</v>
      </c>
      <c r="G509" s="7">
        <f t="shared" ca="1" si="28"/>
        <v>28.672222222222221</v>
      </c>
      <c r="H509" s="9" t="s">
        <v>18</v>
      </c>
      <c r="I509" s="9" t="s">
        <v>25</v>
      </c>
      <c r="J509" s="9" t="s">
        <v>21</v>
      </c>
      <c r="K509" s="9" t="s">
        <v>27</v>
      </c>
      <c r="L509" s="10">
        <v>45231</v>
      </c>
      <c r="M509" s="9">
        <f t="shared" ca="1" si="29"/>
        <v>2.5166666666666666</v>
      </c>
      <c r="N509" s="9">
        <v>3008</v>
      </c>
      <c r="O509" s="9" t="str">
        <f t="shared" si="30"/>
        <v>نوفمبر</v>
      </c>
      <c r="P509" s="7" t="str">
        <f t="shared" si="31"/>
        <v>راتب عالي</v>
      </c>
    </row>
    <row r="510" spans="1:16" x14ac:dyDescent="0.3">
      <c r="A510" s="7">
        <v>59137</v>
      </c>
      <c r="B510" s="7" t="s">
        <v>1053</v>
      </c>
      <c r="C510" s="7" t="s">
        <v>1054</v>
      </c>
      <c r="D510" s="7" t="s">
        <v>53</v>
      </c>
      <c r="E510" s="7" t="s">
        <v>35</v>
      </c>
      <c r="F510" s="8">
        <v>33214</v>
      </c>
      <c r="G510" s="7">
        <f t="shared" ca="1" si="28"/>
        <v>35.416666666666664</v>
      </c>
      <c r="H510" s="7" t="s">
        <v>36</v>
      </c>
      <c r="I510" s="7" t="s">
        <v>25</v>
      </c>
      <c r="J510" s="7" t="s">
        <v>27</v>
      </c>
      <c r="K510" s="7" t="s">
        <v>31</v>
      </c>
      <c r="L510" s="8">
        <v>45232</v>
      </c>
      <c r="M510" s="7">
        <f t="shared" ca="1" si="29"/>
        <v>2.5138888888888888</v>
      </c>
      <c r="N510" s="7">
        <v>6771</v>
      </c>
      <c r="O510" s="7" t="str">
        <f t="shared" si="30"/>
        <v>نوفمبر</v>
      </c>
      <c r="P510" s="7" t="str">
        <f t="shared" si="31"/>
        <v>راتب طبيعي</v>
      </c>
    </row>
    <row r="511" spans="1:16" x14ac:dyDescent="0.3">
      <c r="A511" s="9">
        <v>51418</v>
      </c>
      <c r="B511" s="9" t="s">
        <v>1055</v>
      </c>
      <c r="C511" s="9" t="s">
        <v>1056</v>
      </c>
      <c r="D511" s="9" t="s">
        <v>16</v>
      </c>
      <c r="E511" s="9" t="s">
        <v>17</v>
      </c>
      <c r="F511" s="10">
        <v>30160</v>
      </c>
      <c r="G511" s="7">
        <f t="shared" ca="1" si="28"/>
        <v>43.774999999999999</v>
      </c>
      <c r="H511" s="9" t="s">
        <v>18</v>
      </c>
      <c r="I511" s="9" t="s">
        <v>25</v>
      </c>
      <c r="J511" s="9" t="s">
        <v>27</v>
      </c>
      <c r="K511" s="9" t="s">
        <v>27</v>
      </c>
      <c r="L511" s="10">
        <v>45233</v>
      </c>
      <c r="M511" s="9">
        <f t="shared" ca="1" si="29"/>
        <v>2.5111111111111111</v>
      </c>
      <c r="N511" s="9">
        <v>6034</v>
      </c>
      <c r="O511" s="9" t="str">
        <f t="shared" si="30"/>
        <v>نوفمبر</v>
      </c>
      <c r="P511" s="7" t="str">
        <f t="shared" si="31"/>
        <v>راتب طبيعي</v>
      </c>
    </row>
    <row r="512" spans="1:16" x14ac:dyDescent="0.3">
      <c r="A512" s="7">
        <v>50122</v>
      </c>
      <c r="B512" s="7" t="s">
        <v>1057</v>
      </c>
      <c r="C512" s="7" t="s">
        <v>1058</v>
      </c>
      <c r="D512" s="7" t="s">
        <v>34</v>
      </c>
      <c r="E512" s="7" t="s">
        <v>35</v>
      </c>
      <c r="F512" s="8">
        <v>32214</v>
      </c>
      <c r="G512" s="7">
        <f t="shared" ca="1" si="28"/>
        <v>38.152777777777779</v>
      </c>
      <c r="H512" s="7" t="s">
        <v>36</v>
      </c>
      <c r="I512" s="7" t="s">
        <v>25</v>
      </c>
      <c r="J512" s="7" t="s">
        <v>27</v>
      </c>
      <c r="K512" s="7" t="s">
        <v>37</v>
      </c>
      <c r="L512" s="8">
        <v>45234</v>
      </c>
      <c r="M512" s="7">
        <f t="shared" ca="1" si="29"/>
        <v>2.5083333333333333</v>
      </c>
      <c r="N512" s="7">
        <v>3080</v>
      </c>
      <c r="O512" s="7" t="str">
        <f t="shared" si="30"/>
        <v>نوفمبر</v>
      </c>
      <c r="P512" s="7" t="str">
        <f t="shared" si="31"/>
        <v>راتب عالي</v>
      </c>
    </row>
    <row r="513" spans="1:16" x14ac:dyDescent="0.3">
      <c r="A513" s="9">
        <v>50947</v>
      </c>
      <c r="B513" s="9" t="s">
        <v>1059</v>
      </c>
      <c r="C513" s="9" t="s">
        <v>1060</v>
      </c>
      <c r="D513" s="9" t="s">
        <v>24</v>
      </c>
      <c r="E513" s="9" t="s">
        <v>17</v>
      </c>
      <c r="F513" s="10">
        <v>31418</v>
      </c>
      <c r="G513" s="7">
        <f t="shared" ca="1" si="28"/>
        <v>40.336111111111109</v>
      </c>
      <c r="H513" s="9" t="s">
        <v>36</v>
      </c>
      <c r="I513" s="9" t="s">
        <v>19</v>
      </c>
      <c r="J513" s="9" t="s">
        <v>21</v>
      </c>
      <c r="K513" s="9" t="s">
        <v>27</v>
      </c>
      <c r="L513" s="10">
        <v>45235</v>
      </c>
      <c r="M513" s="9">
        <f t="shared" ca="1" si="29"/>
        <v>2.5055555555555555</v>
      </c>
      <c r="N513" s="9">
        <v>20140</v>
      </c>
      <c r="O513" s="9" t="str">
        <f t="shared" si="30"/>
        <v>نوفمبر</v>
      </c>
      <c r="P513" s="7" t="str">
        <f t="shared" si="31"/>
        <v>راتب طبيعي</v>
      </c>
    </row>
    <row r="514" spans="1:16" x14ac:dyDescent="0.3">
      <c r="A514" s="7">
        <v>56388</v>
      </c>
      <c r="B514" s="7" t="s">
        <v>1061</v>
      </c>
      <c r="C514" s="7" t="s">
        <v>1062</v>
      </c>
      <c r="D514" s="7" t="s">
        <v>24</v>
      </c>
      <c r="E514" s="7" t="s">
        <v>17</v>
      </c>
      <c r="F514" s="8">
        <v>37766</v>
      </c>
      <c r="G514" s="7">
        <f t="shared" ca="1" si="28"/>
        <v>22.95</v>
      </c>
      <c r="H514" s="7" t="s">
        <v>18</v>
      </c>
      <c r="I514" s="7" t="s">
        <v>25</v>
      </c>
      <c r="J514" s="7" t="s">
        <v>27</v>
      </c>
      <c r="K514" s="7" t="s">
        <v>31</v>
      </c>
      <c r="L514" s="8">
        <v>45236</v>
      </c>
      <c r="M514" s="7">
        <f t="shared" ca="1" si="29"/>
        <v>2.5027777777777778</v>
      </c>
      <c r="N514" s="7">
        <v>3614</v>
      </c>
      <c r="O514" s="7" t="str">
        <f t="shared" si="30"/>
        <v>نوفمبر</v>
      </c>
      <c r="P514" s="7" t="str">
        <f t="shared" si="31"/>
        <v>راتب عالي</v>
      </c>
    </row>
    <row r="515" spans="1:16" x14ac:dyDescent="0.3">
      <c r="A515" s="9">
        <v>59959</v>
      </c>
      <c r="B515" s="9" t="s">
        <v>1063</v>
      </c>
      <c r="C515" s="9" t="s">
        <v>1064</v>
      </c>
      <c r="D515" s="9" t="s">
        <v>95</v>
      </c>
      <c r="E515" s="9" t="s">
        <v>35</v>
      </c>
      <c r="F515" s="10">
        <v>37887</v>
      </c>
      <c r="G515" s="7">
        <f t="shared" ref="G515:G578" ca="1" si="32">YEARFRAC(F515,TODAY())</f>
        <v>22.622222222222224</v>
      </c>
      <c r="H515" s="9" t="s">
        <v>36</v>
      </c>
      <c r="I515" s="9" t="s">
        <v>25</v>
      </c>
      <c r="J515" s="9" t="s">
        <v>20</v>
      </c>
      <c r="K515" s="9" t="s">
        <v>21</v>
      </c>
      <c r="L515" s="10">
        <v>45237</v>
      </c>
      <c r="M515" s="9">
        <f t="shared" ref="M515:M578" ca="1" si="33">YEARFRAC(L515,TODAY())</f>
        <v>2.5</v>
      </c>
      <c r="N515" s="9">
        <v>6061</v>
      </c>
      <c r="O515" s="9" t="str">
        <f t="shared" ref="O515:O578" si="34">TEXT(L515,"mmm")</f>
        <v>نوفمبر</v>
      </c>
      <c r="P515" s="7" t="str">
        <f t="shared" ref="P515:P578" si="35">IF(N515&gt;=S$10,"راتب طبيعي","راتب عالي")</f>
        <v>راتب طبيعي</v>
      </c>
    </row>
    <row r="516" spans="1:16" x14ac:dyDescent="0.3">
      <c r="A516" s="7">
        <v>55855</v>
      </c>
      <c r="B516" s="7" t="s">
        <v>1065</v>
      </c>
      <c r="C516" s="7" t="s">
        <v>1066</v>
      </c>
      <c r="D516" s="7" t="s">
        <v>30</v>
      </c>
      <c r="E516" s="7" t="s">
        <v>35</v>
      </c>
      <c r="F516" s="8">
        <v>30030</v>
      </c>
      <c r="G516" s="7">
        <f t="shared" ca="1" si="32"/>
        <v>44.130555555555553</v>
      </c>
      <c r="H516" s="7" t="s">
        <v>18</v>
      </c>
      <c r="I516" s="7" t="s">
        <v>25</v>
      </c>
      <c r="J516" s="7" t="s">
        <v>26</v>
      </c>
      <c r="K516" s="7" t="s">
        <v>26</v>
      </c>
      <c r="L516" s="8">
        <v>45238</v>
      </c>
      <c r="M516" s="7">
        <f t="shared" ca="1" si="33"/>
        <v>2.4972222222222222</v>
      </c>
      <c r="N516" s="7">
        <v>6138</v>
      </c>
      <c r="O516" s="7" t="str">
        <f t="shared" si="34"/>
        <v>نوفمبر</v>
      </c>
      <c r="P516" s="7" t="str">
        <f t="shared" si="35"/>
        <v>راتب طبيعي</v>
      </c>
    </row>
    <row r="517" spans="1:16" x14ac:dyDescent="0.3">
      <c r="A517" s="9">
        <v>51380</v>
      </c>
      <c r="B517" s="9" t="s">
        <v>1067</v>
      </c>
      <c r="C517" s="9" t="s">
        <v>1068</v>
      </c>
      <c r="D517" s="9" t="s">
        <v>66</v>
      </c>
      <c r="E517" s="9" t="s">
        <v>35</v>
      </c>
      <c r="F517" s="10">
        <v>31329</v>
      </c>
      <c r="G517" s="7">
        <f t="shared" ca="1" si="32"/>
        <v>40.577777777777776</v>
      </c>
      <c r="H517" s="9" t="s">
        <v>36</v>
      </c>
      <c r="I517" s="9" t="s">
        <v>25</v>
      </c>
      <c r="J517" s="9" t="s">
        <v>20</v>
      </c>
      <c r="K517" s="9" t="s">
        <v>21</v>
      </c>
      <c r="L517" s="10">
        <v>45239</v>
      </c>
      <c r="M517" s="9">
        <f t="shared" ca="1" si="33"/>
        <v>2.4944444444444445</v>
      </c>
      <c r="N517" s="9">
        <v>6805</v>
      </c>
      <c r="O517" s="9" t="str">
        <f t="shared" si="34"/>
        <v>نوفمبر</v>
      </c>
      <c r="P517" s="7" t="str">
        <f t="shared" si="35"/>
        <v>راتب طبيعي</v>
      </c>
    </row>
    <row r="518" spans="1:16" x14ac:dyDescent="0.3">
      <c r="A518" s="7">
        <v>58582</v>
      </c>
      <c r="B518" s="7" t="s">
        <v>1069</v>
      </c>
      <c r="C518" s="7" t="s">
        <v>1070</v>
      </c>
      <c r="D518" s="7" t="s">
        <v>16</v>
      </c>
      <c r="E518" s="7" t="s">
        <v>35</v>
      </c>
      <c r="F518" s="8">
        <v>30889</v>
      </c>
      <c r="G518" s="7">
        <f t="shared" ca="1" si="32"/>
        <v>41.780555555555559</v>
      </c>
      <c r="H518" s="7" t="s">
        <v>36</v>
      </c>
      <c r="I518" s="7" t="s">
        <v>46</v>
      </c>
      <c r="J518" s="7" t="s">
        <v>26</v>
      </c>
      <c r="K518" s="7" t="s">
        <v>31</v>
      </c>
      <c r="L518" s="8">
        <v>45240</v>
      </c>
      <c r="M518" s="7">
        <f t="shared" ca="1" si="33"/>
        <v>2.4916666666666667</v>
      </c>
      <c r="N518" s="7">
        <v>12118</v>
      </c>
      <c r="O518" s="7" t="str">
        <f t="shared" si="34"/>
        <v>نوفمبر</v>
      </c>
      <c r="P518" s="7" t="str">
        <f t="shared" si="35"/>
        <v>راتب طبيعي</v>
      </c>
    </row>
    <row r="519" spans="1:16" x14ac:dyDescent="0.3">
      <c r="A519" s="9">
        <v>56920</v>
      </c>
      <c r="B519" s="9" t="s">
        <v>1071</v>
      </c>
      <c r="C519" s="9" t="s">
        <v>1072</v>
      </c>
      <c r="D519" s="9" t="s">
        <v>24</v>
      </c>
      <c r="E519" s="9" t="s">
        <v>17</v>
      </c>
      <c r="F519" s="10">
        <v>37913</v>
      </c>
      <c r="G519" s="7">
        <f t="shared" ca="1" si="32"/>
        <v>22.55</v>
      </c>
      <c r="H519" s="9" t="s">
        <v>36</v>
      </c>
      <c r="I519" s="9" t="s">
        <v>25</v>
      </c>
      <c r="J519" s="9" t="s">
        <v>21</v>
      </c>
      <c r="K519" s="9" t="s">
        <v>27</v>
      </c>
      <c r="L519" s="10">
        <v>45241</v>
      </c>
      <c r="M519" s="9">
        <f t="shared" ca="1" si="33"/>
        <v>2.4888888888888889</v>
      </c>
      <c r="N519" s="9">
        <v>4994</v>
      </c>
      <c r="O519" s="9" t="str">
        <f t="shared" si="34"/>
        <v>نوفمبر</v>
      </c>
      <c r="P519" s="7" t="str">
        <f t="shared" si="35"/>
        <v>راتب عالي</v>
      </c>
    </row>
    <row r="520" spans="1:16" x14ac:dyDescent="0.3">
      <c r="A520" s="7">
        <v>57334</v>
      </c>
      <c r="B520" s="7" t="s">
        <v>1073</v>
      </c>
      <c r="C520" s="7" t="s">
        <v>1074</v>
      </c>
      <c r="D520" s="7" t="s">
        <v>95</v>
      </c>
      <c r="E520" s="7" t="s">
        <v>17</v>
      </c>
      <c r="F520" s="8">
        <v>35355</v>
      </c>
      <c r="G520" s="7">
        <f t="shared" ca="1" si="32"/>
        <v>29.555555555555557</v>
      </c>
      <c r="H520" s="7" t="s">
        <v>36</v>
      </c>
      <c r="I520" s="7" t="s">
        <v>19</v>
      </c>
      <c r="J520" s="7" t="s">
        <v>27</v>
      </c>
      <c r="K520" s="7" t="s">
        <v>21</v>
      </c>
      <c r="L520" s="8">
        <v>45242</v>
      </c>
      <c r="M520" s="7">
        <f t="shared" ca="1" si="33"/>
        <v>2.4861111111111112</v>
      </c>
      <c r="N520" s="7">
        <v>27240</v>
      </c>
      <c r="O520" s="7" t="str">
        <f t="shared" si="34"/>
        <v>نوفمبر</v>
      </c>
      <c r="P520" s="7" t="str">
        <f t="shared" si="35"/>
        <v>راتب طبيعي</v>
      </c>
    </row>
    <row r="521" spans="1:16" x14ac:dyDescent="0.3">
      <c r="A521" s="9">
        <v>58425</v>
      </c>
      <c r="B521" s="9" t="s">
        <v>1075</v>
      </c>
      <c r="C521" s="9" t="s">
        <v>1076</v>
      </c>
      <c r="D521" s="9" t="s">
        <v>146</v>
      </c>
      <c r="E521" s="9" t="s">
        <v>35</v>
      </c>
      <c r="F521" s="10">
        <v>36362</v>
      </c>
      <c r="G521" s="7">
        <f t="shared" ca="1" si="32"/>
        <v>26.794444444444444</v>
      </c>
      <c r="H521" s="9" t="s">
        <v>18</v>
      </c>
      <c r="I521" s="9" t="s">
        <v>25</v>
      </c>
      <c r="J521" s="9" t="s">
        <v>27</v>
      </c>
      <c r="K521" s="9" t="s">
        <v>26</v>
      </c>
      <c r="L521" s="10">
        <v>45243</v>
      </c>
      <c r="M521" s="9">
        <f t="shared" ca="1" si="33"/>
        <v>2.4833333333333334</v>
      </c>
      <c r="N521" s="9">
        <v>4138</v>
      </c>
      <c r="O521" s="9" t="str">
        <f t="shared" si="34"/>
        <v>نوفمبر</v>
      </c>
      <c r="P521" s="7" t="str">
        <f t="shared" si="35"/>
        <v>راتب عالي</v>
      </c>
    </row>
    <row r="522" spans="1:16" x14ac:dyDescent="0.3">
      <c r="A522" s="7">
        <v>52428</v>
      </c>
      <c r="B522" s="7" t="s">
        <v>1077</v>
      </c>
      <c r="C522" s="7" t="s">
        <v>1078</v>
      </c>
      <c r="D522" s="7" t="s">
        <v>24</v>
      </c>
      <c r="E522" s="7" t="s">
        <v>17</v>
      </c>
      <c r="F522" s="8">
        <v>36075</v>
      </c>
      <c r="G522" s="7">
        <f t="shared" ca="1" si="32"/>
        <v>27.583333333333332</v>
      </c>
      <c r="H522" s="7" t="s">
        <v>36</v>
      </c>
      <c r="I522" s="7" t="s">
        <v>46</v>
      </c>
      <c r="J522" s="7" t="s">
        <v>20</v>
      </c>
      <c r="K522" s="7" t="s">
        <v>21</v>
      </c>
      <c r="L522" s="8">
        <v>45244</v>
      </c>
      <c r="M522" s="7">
        <f t="shared" ca="1" si="33"/>
        <v>2.4805555555555556</v>
      </c>
      <c r="N522" s="7">
        <v>11719</v>
      </c>
      <c r="O522" s="7" t="str">
        <f t="shared" si="34"/>
        <v>نوفمبر</v>
      </c>
      <c r="P522" s="7" t="str">
        <f t="shared" si="35"/>
        <v>راتب طبيعي</v>
      </c>
    </row>
    <row r="523" spans="1:16" x14ac:dyDescent="0.3">
      <c r="A523" s="9">
        <v>55114</v>
      </c>
      <c r="B523" s="9" t="s">
        <v>1079</v>
      </c>
      <c r="C523" s="9" t="s">
        <v>1080</v>
      </c>
      <c r="D523" s="9" t="s">
        <v>30</v>
      </c>
      <c r="E523" s="9" t="s">
        <v>17</v>
      </c>
      <c r="F523" s="10">
        <v>32366</v>
      </c>
      <c r="G523" s="7">
        <f t="shared" ca="1" si="32"/>
        <v>37.738888888888887</v>
      </c>
      <c r="H523" s="9" t="s">
        <v>36</v>
      </c>
      <c r="I523" s="9" t="s">
        <v>25</v>
      </c>
      <c r="J523" s="9" t="s">
        <v>27</v>
      </c>
      <c r="K523" s="9" t="s">
        <v>37</v>
      </c>
      <c r="L523" s="10">
        <v>45245</v>
      </c>
      <c r="M523" s="9">
        <f t="shared" ca="1" si="33"/>
        <v>2.4777777777777779</v>
      </c>
      <c r="N523" s="9">
        <v>3099</v>
      </c>
      <c r="O523" s="9" t="str">
        <f t="shared" si="34"/>
        <v>نوفمبر</v>
      </c>
      <c r="P523" s="7" t="str">
        <f t="shared" si="35"/>
        <v>راتب عالي</v>
      </c>
    </row>
    <row r="524" spans="1:16" x14ac:dyDescent="0.3">
      <c r="A524" s="7">
        <v>57731</v>
      </c>
      <c r="B524" s="7" t="s">
        <v>1081</v>
      </c>
      <c r="C524" s="7" t="s">
        <v>1082</v>
      </c>
      <c r="D524" s="7" t="s">
        <v>146</v>
      </c>
      <c r="E524" s="7" t="s">
        <v>35</v>
      </c>
      <c r="F524" s="8">
        <v>36778</v>
      </c>
      <c r="G524" s="7">
        <f t="shared" ca="1" si="32"/>
        <v>25.661111111111111</v>
      </c>
      <c r="H524" s="7" t="s">
        <v>18</v>
      </c>
      <c r="I524" s="7" t="s">
        <v>25</v>
      </c>
      <c r="J524" s="7" t="s">
        <v>31</v>
      </c>
      <c r="K524" s="7" t="s">
        <v>20</v>
      </c>
      <c r="L524" s="8">
        <v>45246</v>
      </c>
      <c r="M524" s="7">
        <f t="shared" ca="1" si="33"/>
        <v>2.4750000000000001</v>
      </c>
      <c r="N524" s="7">
        <v>5943</v>
      </c>
      <c r="O524" s="7" t="str">
        <f t="shared" si="34"/>
        <v>نوفمبر</v>
      </c>
      <c r="P524" s="7" t="str">
        <f t="shared" si="35"/>
        <v>راتب عالي</v>
      </c>
    </row>
    <row r="525" spans="1:16" x14ac:dyDescent="0.3">
      <c r="A525" s="9">
        <v>57402</v>
      </c>
      <c r="B525" s="9" t="s">
        <v>1083</v>
      </c>
      <c r="C525" s="9" t="s">
        <v>1084</v>
      </c>
      <c r="D525" s="9" t="s">
        <v>43</v>
      </c>
      <c r="E525" s="9" t="s">
        <v>35</v>
      </c>
      <c r="F525" s="10">
        <v>37116</v>
      </c>
      <c r="G525" s="7">
        <f t="shared" ca="1" si="32"/>
        <v>24.733333333333334</v>
      </c>
      <c r="H525" s="9" t="s">
        <v>18</v>
      </c>
      <c r="I525" s="9" t="s">
        <v>25</v>
      </c>
      <c r="J525" s="9" t="s">
        <v>21</v>
      </c>
      <c r="K525" s="9" t="s">
        <v>27</v>
      </c>
      <c r="L525" s="10">
        <v>45247</v>
      </c>
      <c r="M525" s="9">
        <f t="shared" ca="1" si="33"/>
        <v>2.4722222222222223</v>
      </c>
      <c r="N525" s="9">
        <v>3610</v>
      </c>
      <c r="O525" s="9" t="str">
        <f t="shared" si="34"/>
        <v>نوفمبر</v>
      </c>
      <c r="P525" s="7" t="str">
        <f t="shared" si="35"/>
        <v>راتب عالي</v>
      </c>
    </row>
    <row r="526" spans="1:16" x14ac:dyDescent="0.3">
      <c r="A526" s="7">
        <v>59096</v>
      </c>
      <c r="B526" s="7" t="s">
        <v>1085</v>
      </c>
      <c r="C526" s="7" t="s">
        <v>1086</v>
      </c>
      <c r="D526" s="7" t="s">
        <v>43</v>
      </c>
      <c r="E526" s="7" t="s">
        <v>17</v>
      </c>
      <c r="F526" s="8">
        <v>35005</v>
      </c>
      <c r="G526" s="7">
        <f t="shared" ca="1" si="32"/>
        <v>30.513888888888889</v>
      </c>
      <c r="H526" s="7" t="s">
        <v>36</v>
      </c>
      <c r="I526" s="7" t="s">
        <v>25</v>
      </c>
      <c r="J526" s="7" t="s">
        <v>21</v>
      </c>
      <c r="K526" s="7" t="s">
        <v>27</v>
      </c>
      <c r="L526" s="8">
        <v>45248</v>
      </c>
      <c r="M526" s="7">
        <f t="shared" ca="1" si="33"/>
        <v>2.4694444444444446</v>
      </c>
      <c r="N526" s="7">
        <v>5245</v>
      </c>
      <c r="O526" s="7" t="str">
        <f t="shared" si="34"/>
        <v>نوفمبر</v>
      </c>
      <c r="P526" s="7" t="str">
        <f t="shared" si="35"/>
        <v>راتب عالي</v>
      </c>
    </row>
    <row r="527" spans="1:16" x14ac:dyDescent="0.3">
      <c r="A527" s="9">
        <v>57460</v>
      </c>
      <c r="B527" s="9" t="s">
        <v>1087</v>
      </c>
      <c r="C527" s="9" t="s">
        <v>1088</v>
      </c>
      <c r="D527" s="9" t="s">
        <v>146</v>
      </c>
      <c r="E527" s="9" t="s">
        <v>17</v>
      </c>
      <c r="F527" s="10">
        <v>36815</v>
      </c>
      <c r="G527" s="7">
        <f t="shared" ca="1" si="32"/>
        <v>25.558333333333334</v>
      </c>
      <c r="H527" s="9" t="s">
        <v>18</v>
      </c>
      <c r="I527" s="9" t="s">
        <v>25</v>
      </c>
      <c r="J527" s="9" t="s">
        <v>21</v>
      </c>
      <c r="K527" s="9" t="s">
        <v>31</v>
      </c>
      <c r="L527" s="10">
        <v>45249</v>
      </c>
      <c r="M527" s="9">
        <f t="shared" ca="1" si="33"/>
        <v>2.4666666666666668</v>
      </c>
      <c r="N527" s="9">
        <v>4178</v>
      </c>
      <c r="O527" s="9" t="str">
        <f t="shared" si="34"/>
        <v>نوفمبر</v>
      </c>
      <c r="P527" s="7" t="str">
        <f t="shared" si="35"/>
        <v>راتب عالي</v>
      </c>
    </row>
    <row r="528" spans="1:16" x14ac:dyDescent="0.3">
      <c r="A528" s="7">
        <v>56154</v>
      </c>
      <c r="B528" s="7" t="s">
        <v>1089</v>
      </c>
      <c r="C528" s="7" t="s">
        <v>1090</v>
      </c>
      <c r="D528" s="7" t="s">
        <v>40</v>
      </c>
      <c r="E528" s="7" t="s">
        <v>35</v>
      </c>
      <c r="F528" s="8">
        <v>36217</v>
      </c>
      <c r="G528" s="7">
        <f t="shared" ca="1" si="32"/>
        <v>27.197222222222223</v>
      </c>
      <c r="H528" s="7" t="s">
        <v>18</v>
      </c>
      <c r="I528" s="7" t="s">
        <v>25</v>
      </c>
      <c r="J528" s="7" t="s">
        <v>21</v>
      </c>
      <c r="K528" s="7" t="s">
        <v>31</v>
      </c>
      <c r="L528" s="8">
        <v>45250</v>
      </c>
      <c r="M528" s="7">
        <f t="shared" ca="1" si="33"/>
        <v>2.463888888888889</v>
      </c>
      <c r="N528" s="7">
        <v>5366</v>
      </c>
      <c r="O528" s="7" t="str">
        <f t="shared" si="34"/>
        <v>نوفمبر</v>
      </c>
      <c r="P528" s="7" t="str">
        <f t="shared" si="35"/>
        <v>راتب عالي</v>
      </c>
    </row>
    <row r="529" spans="1:16" x14ac:dyDescent="0.3">
      <c r="A529" s="9">
        <v>54890</v>
      </c>
      <c r="B529" s="9" t="s">
        <v>1091</v>
      </c>
      <c r="C529" s="9" t="s">
        <v>1092</v>
      </c>
      <c r="D529" s="9" t="s">
        <v>16</v>
      </c>
      <c r="E529" s="9" t="s">
        <v>35</v>
      </c>
      <c r="F529" s="10">
        <v>37050</v>
      </c>
      <c r="G529" s="7">
        <f t="shared" ca="1" si="32"/>
        <v>24.913888888888888</v>
      </c>
      <c r="H529" s="9" t="s">
        <v>18</v>
      </c>
      <c r="I529" s="9" t="s">
        <v>19</v>
      </c>
      <c r="J529" s="9" t="s">
        <v>31</v>
      </c>
      <c r="K529" s="9" t="s">
        <v>20</v>
      </c>
      <c r="L529" s="10">
        <v>45251</v>
      </c>
      <c r="M529" s="9">
        <f t="shared" ca="1" si="33"/>
        <v>2.4611111111111112</v>
      </c>
      <c r="N529" s="9">
        <v>17637</v>
      </c>
      <c r="O529" s="9" t="str">
        <f t="shared" si="34"/>
        <v>نوفمبر</v>
      </c>
      <c r="P529" s="7" t="str">
        <f t="shared" si="35"/>
        <v>راتب طبيعي</v>
      </c>
    </row>
    <row r="530" spans="1:16" x14ac:dyDescent="0.3">
      <c r="A530" s="7">
        <v>50193</v>
      </c>
      <c r="B530" s="7" t="s">
        <v>1093</v>
      </c>
      <c r="C530" s="7" t="s">
        <v>1094</v>
      </c>
      <c r="D530" s="7" t="s">
        <v>40</v>
      </c>
      <c r="E530" s="7" t="s">
        <v>35</v>
      </c>
      <c r="F530" s="8">
        <v>36490</v>
      </c>
      <c r="G530" s="7">
        <f t="shared" ca="1" si="32"/>
        <v>26.447222222222223</v>
      </c>
      <c r="H530" s="7" t="s">
        <v>18</v>
      </c>
      <c r="I530" s="7" t="s">
        <v>25</v>
      </c>
      <c r="J530" s="7" t="s">
        <v>20</v>
      </c>
      <c r="K530" s="7" t="s">
        <v>21</v>
      </c>
      <c r="L530" s="8">
        <v>45252</v>
      </c>
      <c r="M530" s="7">
        <f t="shared" ca="1" si="33"/>
        <v>2.4583333333333335</v>
      </c>
      <c r="N530" s="7">
        <v>3145</v>
      </c>
      <c r="O530" s="7" t="str">
        <f t="shared" si="34"/>
        <v>نوفمبر</v>
      </c>
      <c r="P530" s="7" t="str">
        <f t="shared" si="35"/>
        <v>راتب عالي</v>
      </c>
    </row>
    <row r="531" spans="1:16" x14ac:dyDescent="0.3">
      <c r="A531" s="9">
        <v>51944</v>
      </c>
      <c r="B531" s="9" t="s">
        <v>1095</v>
      </c>
      <c r="C531" s="9" t="s">
        <v>1096</v>
      </c>
      <c r="D531" s="9" t="s">
        <v>53</v>
      </c>
      <c r="E531" s="9" t="s">
        <v>35</v>
      </c>
      <c r="F531" s="10">
        <v>30940</v>
      </c>
      <c r="G531" s="7">
        <f t="shared" ca="1" si="32"/>
        <v>41.644444444444446</v>
      </c>
      <c r="H531" s="9" t="s">
        <v>18</v>
      </c>
      <c r="I531" s="9" t="s">
        <v>25</v>
      </c>
      <c r="J531" s="9" t="s">
        <v>21</v>
      </c>
      <c r="K531" s="9" t="s">
        <v>27</v>
      </c>
      <c r="L531" s="10">
        <v>45253</v>
      </c>
      <c r="M531" s="9">
        <f t="shared" ca="1" si="33"/>
        <v>2.4555555555555557</v>
      </c>
      <c r="N531" s="9">
        <v>6499</v>
      </c>
      <c r="O531" s="9" t="str">
        <f t="shared" si="34"/>
        <v>نوفمبر</v>
      </c>
      <c r="P531" s="7" t="str">
        <f t="shared" si="35"/>
        <v>راتب طبيعي</v>
      </c>
    </row>
    <row r="532" spans="1:16" x14ac:dyDescent="0.3">
      <c r="A532" s="7">
        <v>50892</v>
      </c>
      <c r="B532" s="7" t="s">
        <v>1097</v>
      </c>
      <c r="C532" s="7" t="s">
        <v>1098</v>
      </c>
      <c r="D532" s="7" t="s">
        <v>43</v>
      </c>
      <c r="E532" s="7" t="s">
        <v>17</v>
      </c>
      <c r="F532" s="8">
        <v>30677</v>
      </c>
      <c r="G532" s="7">
        <f t="shared" ca="1" si="32"/>
        <v>42.361111111111114</v>
      </c>
      <c r="H532" s="7" t="s">
        <v>18</v>
      </c>
      <c r="I532" s="7" t="s">
        <v>25</v>
      </c>
      <c r="J532" s="7" t="s">
        <v>21</v>
      </c>
      <c r="K532" s="7" t="s">
        <v>21</v>
      </c>
      <c r="L532" s="8">
        <v>45254</v>
      </c>
      <c r="M532" s="7">
        <f t="shared" ca="1" si="33"/>
        <v>2.4527777777777779</v>
      </c>
      <c r="N532" s="7">
        <v>6260</v>
      </c>
      <c r="O532" s="7" t="str">
        <f t="shared" si="34"/>
        <v>نوفمبر</v>
      </c>
      <c r="P532" s="7" t="str">
        <f t="shared" si="35"/>
        <v>راتب طبيعي</v>
      </c>
    </row>
    <row r="533" spans="1:16" x14ac:dyDescent="0.3">
      <c r="A533" s="9">
        <v>55006</v>
      </c>
      <c r="B533" s="9" t="s">
        <v>1099</v>
      </c>
      <c r="C533" s="9" t="s">
        <v>1100</v>
      </c>
      <c r="D533" s="9" t="s">
        <v>40</v>
      </c>
      <c r="E533" s="9" t="s">
        <v>35</v>
      </c>
      <c r="F533" s="10">
        <v>33125</v>
      </c>
      <c r="G533" s="7">
        <f t="shared" ca="1" si="32"/>
        <v>35.661111111111111</v>
      </c>
      <c r="H533" s="9" t="s">
        <v>36</v>
      </c>
      <c r="I533" s="9" t="s">
        <v>25</v>
      </c>
      <c r="J533" s="9" t="s">
        <v>27</v>
      </c>
      <c r="K533" s="9" t="s">
        <v>21</v>
      </c>
      <c r="L533" s="10">
        <v>45255</v>
      </c>
      <c r="M533" s="9">
        <f t="shared" ca="1" si="33"/>
        <v>2.4500000000000002</v>
      </c>
      <c r="N533" s="9">
        <v>4130</v>
      </c>
      <c r="O533" s="9" t="str">
        <f t="shared" si="34"/>
        <v>نوفمبر</v>
      </c>
      <c r="P533" s="7" t="str">
        <f t="shared" si="35"/>
        <v>راتب عالي</v>
      </c>
    </row>
    <row r="534" spans="1:16" x14ac:dyDescent="0.3">
      <c r="A534" s="7">
        <v>55218</v>
      </c>
      <c r="B534" s="7" t="s">
        <v>1101</v>
      </c>
      <c r="C534" s="7" t="s">
        <v>1102</v>
      </c>
      <c r="D534" s="7" t="s">
        <v>43</v>
      </c>
      <c r="E534" s="7" t="s">
        <v>17</v>
      </c>
      <c r="F534" s="8">
        <v>35332</v>
      </c>
      <c r="G534" s="7">
        <f t="shared" ca="1" si="32"/>
        <v>29.619444444444444</v>
      </c>
      <c r="H534" s="7" t="s">
        <v>18</v>
      </c>
      <c r="I534" s="7" t="s">
        <v>25</v>
      </c>
      <c r="J534" s="7" t="s">
        <v>27</v>
      </c>
      <c r="K534" s="7" t="s">
        <v>20</v>
      </c>
      <c r="L534" s="8">
        <v>45256</v>
      </c>
      <c r="M534" s="7">
        <f t="shared" ca="1" si="33"/>
        <v>2.4472222222222224</v>
      </c>
      <c r="N534" s="7">
        <v>5589</v>
      </c>
      <c r="O534" s="7" t="str">
        <f t="shared" si="34"/>
        <v>نوفمبر</v>
      </c>
      <c r="P534" s="7" t="str">
        <f t="shared" si="35"/>
        <v>راتب عالي</v>
      </c>
    </row>
    <row r="535" spans="1:16" x14ac:dyDescent="0.3">
      <c r="A535" s="9">
        <v>50927</v>
      </c>
      <c r="B535" s="9" t="s">
        <v>1103</v>
      </c>
      <c r="C535" s="9" t="s">
        <v>1104</v>
      </c>
      <c r="D535" s="9" t="s">
        <v>43</v>
      </c>
      <c r="E535" s="9" t="s">
        <v>17</v>
      </c>
      <c r="F535" s="10">
        <v>37903</v>
      </c>
      <c r="G535" s="7">
        <f t="shared" ca="1" si="32"/>
        <v>22.577777777777779</v>
      </c>
      <c r="H535" s="9" t="s">
        <v>36</v>
      </c>
      <c r="I535" s="9" t="s">
        <v>25</v>
      </c>
      <c r="J535" s="9" t="s">
        <v>27</v>
      </c>
      <c r="K535" s="9" t="s">
        <v>27</v>
      </c>
      <c r="L535" s="10">
        <v>45257</v>
      </c>
      <c r="M535" s="9">
        <f t="shared" ca="1" si="33"/>
        <v>2.4444444444444446</v>
      </c>
      <c r="N535" s="9">
        <v>5479</v>
      </c>
      <c r="O535" s="9" t="str">
        <f t="shared" si="34"/>
        <v>نوفمبر</v>
      </c>
      <c r="P535" s="7" t="str">
        <f t="shared" si="35"/>
        <v>راتب عالي</v>
      </c>
    </row>
    <row r="536" spans="1:16" x14ac:dyDescent="0.3">
      <c r="A536" s="7">
        <v>52478</v>
      </c>
      <c r="B536" s="7" t="s">
        <v>1105</v>
      </c>
      <c r="C536" s="7" t="s">
        <v>1106</v>
      </c>
      <c r="D536" s="7" t="s">
        <v>30</v>
      </c>
      <c r="E536" s="7" t="s">
        <v>17</v>
      </c>
      <c r="F536" s="8">
        <v>31550</v>
      </c>
      <c r="G536" s="7">
        <f t="shared" ca="1" si="32"/>
        <v>39.969444444444441</v>
      </c>
      <c r="H536" s="7" t="s">
        <v>36</v>
      </c>
      <c r="I536" s="7" t="s">
        <v>25</v>
      </c>
      <c r="J536" s="7" t="s">
        <v>21</v>
      </c>
      <c r="K536" s="7" t="s">
        <v>27</v>
      </c>
      <c r="L536" s="8">
        <v>45258</v>
      </c>
      <c r="M536" s="7">
        <f t="shared" ca="1" si="33"/>
        <v>2.4416666666666669</v>
      </c>
      <c r="N536" s="7">
        <v>5716</v>
      </c>
      <c r="O536" s="7" t="str">
        <f t="shared" si="34"/>
        <v>نوفمبر</v>
      </c>
      <c r="P536" s="7" t="str">
        <f t="shared" si="35"/>
        <v>راتب عالي</v>
      </c>
    </row>
    <row r="537" spans="1:16" x14ac:dyDescent="0.3">
      <c r="A537" s="9">
        <v>51691</v>
      </c>
      <c r="B537" s="9" t="s">
        <v>1107</v>
      </c>
      <c r="C537" s="9" t="s">
        <v>1108</v>
      </c>
      <c r="D537" s="9" t="s">
        <v>53</v>
      </c>
      <c r="E537" s="9" t="s">
        <v>17</v>
      </c>
      <c r="F537" s="10">
        <v>34947</v>
      </c>
      <c r="G537" s="7">
        <f t="shared" ca="1" si="32"/>
        <v>30.672222222222221</v>
      </c>
      <c r="H537" s="9" t="s">
        <v>36</v>
      </c>
      <c r="I537" s="9" t="s">
        <v>25</v>
      </c>
      <c r="J537" s="9" t="s">
        <v>20</v>
      </c>
      <c r="K537" s="9" t="s">
        <v>26</v>
      </c>
      <c r="L537" s="10">
        <v>45259</v>
      </c>
      <c r="M537" s="9">
        <f t="shared" ca="1" si="33"/>
        <v>2.4388888888888891</v>
      </c>
      <c r="N537" s="9">
        <v>5608</v>
      </c>
      <c r="O537" s="9" t="str">
        <f t="shared" si="34"/>
        <v>نوفمبر</v>
      </c>
      <c r="P537" s="7" t="str">
        <f t="shared" si="35"/>
        <v>راتب عالي</v>
      </c>
    </row>
    <row r="538" spans="1:16" x14ac:dyDescent="0.3">
      <c r="A538" s="7">
        <v>50337</v>
      </c>
      <c r="B538" s="7" t="s">
        <v>1109</v>
      </c>
      <c r="C538" s="7" t="s">
        <v>1110</v>
      </c>
      <c r="D538" s="7" t="s">
        <v>34</v>
      </c>
      <c r="E538" s="7" t="s">
        <v>17</v>
      </c>
      <c r="F538" s="8">
        <v>35575</v>
      </c>
      <c r="G538" s="7">
        <f t="shared" ca="1" si="32"/>
        <v>28.95</v>
      </c>
      <c r="H538" s="7" t="s">
        <v>18</v>
      </c>
      <c r="I538" s="7" t="s">
        <v>25</v>
      </c>
      <c r="J538" s="7" t="s">
        <v>26</v>
      </c>
      <c r="K538" s="7" t="s">
        <v>21</v>
      </c>
      <c r="L538" s="8">
        <v>45260</v>
      </c>
      <c r="M538" s="7">
        <f t="shared" ca="1" si="33"/>
        <v>2.4361111111111109</v>
      </c>
      <c r="N538" s="7">
        <v>3749</v>
      </c>
      <c r="O538" s="7" t="str">
        <f t="shared" si="34"/>
        <v>نوفمبر</v>
      </c>
      <c r="P538" s="7" t="str">
        <f t="shared" si="35"/>
        <v>راتب عالي</v>
      </c>
    </row>
    <row r="539" spans="1:16" x14ac:dyDescent="0.3">
      <c r="A539" s="9">
        <v>59896</v>
      </c>
      <c r="B539" s="9" t="s">
        <v>1111</v>
      </c>
      <c r="C539" s="9" t="s">
        <v>1112</v>
      </c>
      <c r="D539" s="9" t="s">
        <v>34</v>
      </c>
      <c r="E539" s="9" t="s">
        <v>35</v>
      </c>
      <c r="F539" s="10">
        <v>34737</v>
      </c>
      <c r="G539" s="7">
        <f t="shared" ca="1" si="32"/>
        <v>31.25</v>
      </c>
      <c r="H539" s="9" t="s">
        <v>36</v>
      </c>
      <c r="I539" s="9" t="s">
        <v>25</v>
      </c>
      <c r="J539" s="9" t="s">
        <v>27</v>
      </c>
      <c r="K539" s="9" t="s">
        <v>21</v>
      </c>
      <c r="L539" s="10">
        <v>45261</v>
      </c>
      <c r="M539" s="9">
        <f t="shared" ca="1" si="33"/>
        <v>2.4333333333333331</v>
      </c>
      <c r="N539" s="9">
        <v>6160</v>
      </c>
      <c r="O539" s="9" t="str">
        <f t="shared" si="34"/>
        <v>ديسمبر</v>
      </c>
      <c r="P539" s="7" t="str">
        <f t="shared" si="35"/>
        <v>راتب طبيعي</v>
      </c>
    </row>
    <row r="540" spans="1:16" x14ac:dyDescent="0.3">
      <c r="A540" s="7">
        <v>52643</v>
      </c>
      <c r="B540" s="7" t="s">
        <v>1113</v>
      </c>
      <c r="C540" s="7" t="s">
        <v>1114</v>
      </c>
      <c r="D540" s="7" t="s">
        <v>40</v>
      </c>
      <c r="E540" s="7" t="s">
        <v>17</v>
      </c>
      <c r="F540" s="8">
        <v>32989</v>
      </c>
      <c r="G540" s="7">
        <f t="shared" ca="1" si="32"/>
        <v>36.030555555555559</v>
      </c>
      <c r="H540" s="7" t="s">
        <v>18</v>
      </c>
      <c r="I540" s="7" t="s">
        <v>25</v>
      </c>
      <c r="J540" s="7" t="s">
        <v>31</v>
      </c>
      <c r="K540" s="7" t="s">
        <v>21</v>
      </c>
      <c r="L540" s="8">
        <v>45262</v>
      </c>
      <c r="M540" s="7">
        <f t="shared" ca="1" si="33"/>
        <v>2.4305555555555554</v>
      </c>
      <c r="N540" s="7">
        <v>4918</v>
      </c>
      <c r="O540" s="7" t="str">
        <f t="shared" si="34"/>
        <v>ديسمبر</v>
      </c>
      <c r="P540" s="7" t="str">
        <f t="shared" si="35"/>
        <v>راتب عالي</v>
      </c>
    </row>
    <row r="541" spans="1:16" x14ac:dyDescent="0.3">
      <c r="A541" s="9">
        <v>50294</v>
      </c>
      <c r="B541" s="9" t="s">
        <v>1115</v>
      </c>
      <c r="C541" s="9" t="s">
        <v>1116</v>
      </c>
      <c r="D541" s="9" t="s">
        <v>43</v>
      </c>
      <c r="E541" s="9" t="s">
        <v>35</v>
      </c>
      <c r="F541" s="10">
        <v>34455</v>
      </c>
      <c r="G541" s="7">
        <f t="shared" ca="1" si="32"/>
        <v>32.016666666666666</v>
      </c>
      <c r="H541" s="9" t="s">
        <v>18</v>
      </c>
      <c r="I541" s="9" t="s">
        <v>25</v>
      </c>
      <c r="J541" s="9" t="s">
        <v>20</v>
      </c>
      <c r="K541" s="9" t="s">
        <v>20</v>
      </c>
      <c r="L541" s="10">
        <v>45263</v>
      </c>
      <c r="M541" s="9">
        <f t="shared" ca="1" si="33"/>
        <v>2.4277777777777776</v>
      </c>
      <c r="N541" s="9">
        <v>5782</v>
      </c>
      <c r="O541" s="9" t="str">
        <f t="shared" si="34"/>
        <v>ديسمبر</v>
      </c>
      <c r="P541" s="7" t="str">
        <f t="shared" si="35"/>
        <v>راتب عالي</v>
      </c>
    </row>
    <row r="542" spans="1:16" x14ac:dyDescent="0.3">
      <c r="A542" s="7">
        <v>50100</v>
      </c>
      <c r="B542" s="7" t="s">
        <v>1117</v>
      </c>
      <c r="C542" s="7" t="s">
        <v>1118</v>
      </c>
      <c r="D542" s="7" t="s">
        <v>53</v>
      </c>
      <c r="E542" s="7" t="s">
        <v>17</v>
      </c>
      <c r="F542" s="8">
        <v>33832</v>
      </c>
      <c r="G542" s="7">
        <f t="shared" ca="1" si="32"/>
        <v>33.725000000000001</v>
      </c>
      <c r="H542" s="7" t="s">
        <v>36</v>
      </c>
      <c r="I542" s="7" t="s">
        <v>19</v>
      </c>
      <c r="J542" s="7" t="s">
        <v>27</v>
      </c>
      <c r="K542" s="7" t="s">
        <v>31</v>
      </c>
      <c r="L542" s="8">
        <v>45264</v>
      </c>
      <c r="M542" s="7">
        <f t="shared" ca="1" si="33"/>
        <v>2.4249999999999998</v>
      </c>
      <c r="N542" s="7">
        <v>24778</v>
      </c>
      <c r="O542" s="7" t="str">
        <f t="shared" si="34"/>
        <v>ديسمبر</v>
      </c>
      <c r="P542" s="7" t="str">
        <f t="shared" si="35"/>
        <v>راتب طبيعي</v>
      </c>
    </row>
    <row r="543" spans="1:16" x14ac:dyDescent="0.3">
      <c r="A543" s="9">
        <v>52852</v>
      </c>
      <c r="B543" s="9" t="s">
        <v>1119</v>
      </c>
      <c r="C543" s="9" t="s">
        <v>1120</v>
      </c>
      <c r="D543" s="9" t="s">
        <v>34</v>
      </c>
      <c r="E543" s="9" t="s">
        <v>17</v>
      </c>
      <c r="F543" s="10">
        <v>31837</v>
      </c>
      <c r="G543" s="7">
        <f t="shared" ca="1" si="32"/>
        <v>39.18333333333333</v>
      </c>
      <c r="H543" s="9" t="s">
        <v>36</v>
      </c>
      <c r="I543" s="9" t="s">
        <v>25</v>
      </c>
      <c r="J543" s="9" t="s">
        <v>31</v>
      </c>
      <c r="K543" s="9" t="s">
        <v>37</v>
      </c>
      <c r="L543" s="10">
        <v>45265</v>
      </c>
      <c r="M543" s="9">
        <f t="shared" ca="1" si="33"/>
        <v>2.4222222222222221</v>
      </c>
      <c r="N543" s="9">
        <v>4749</v>
      </c>
      <c r="O543" s="9" t="str">
        <f t="shared" si="34"/>
        <v>ديسمبر</v>
      </c>
      <c r="P543" s="7" t="str">
        <f t="shared" si="35"/>
        <v>راتب عالي</v>
      </c>
    </row>
    <row r="544" spans="1:16" x14ac:dyDescent="0.3">
      <c r="A544" s="7">
        <v>53817</v>
      </c>
      <c r="B544" s="7" t="s">
        <v>1121</v>
      </c>
      <c r="C544" s="7" t="s">
        <v>1122</v>
      </c>
      <c r="D544" s="7" t="s">
        <v>146</v>
      </c>
      <c r="E544" s="7" t="s">
        <v>17</v>
      </c>
      <c r="F544" s="8">
        <v>36597</v>
      </c>
      <c r="G544" s="7">
        <f t="shared" ca="1" si="32"/>
        <v>26.152777777777779</v>
      </c>
      <c r="H544" s="7" t="s">
        <v>18</v>
      </c>
      <c r="I544" s="7" t="s">
        <v>25</v>
      </c>
      <c r="J544" s="7" t="s">
        <v>21</v>
      </c>
      <c r="K544" s="7" t="s">
        <v>26</v>
      </c>
      <c r="L544" s="8">
        <v>45266</v>
      </c>
      <c r="M544" s="7">
        <f t="shared" ca="1" si="33"/>
        <v>2.4194444444444443</v>
      </c>
      <c r="N544" s="7">
        <v>3649</v>
      </c>
      <c r="O544" s="7" t="str">
        <f t="shared" si="34"/>
        <v>ديسمبر</v>
      </c>
      <c r="P544" s="7" t="str">
        <f t="shared" si="35"/>
        <v>راتب عالي</v>
      </c>
    </row>
    <row r="545" spans="1:16" x14ac:dyDescent="0.3">
      <c r="A545" s="9">
        <v>55748</v>
      </c>
      <c r="B545" s="9" t="s">
        <v>1123</v>
      </c>
      <c r="C545" s="9" t="s">
        <v>1124</v>
      </c>
      <c r="D545" s="9" t="s">
        <v>40</v>
      </c>
      <c r="E545" s="9" t="s">
        <v>17</v>
      </c>
      <c r="F545" s="10">
        <v>37334</v>
      </c>
      <c r="G545" s="7">
        <f t="shared" ca="1" si="32"/>
        <v>24.133333333333333</v>
      </c>
      <c r="H545" s="9" t="s">
        <v>36</v>
      </c>
      <c r="I545" s="9" t="s">
        <v>25</v>
      </c>
      <c r="J545" s="9" t="s">
        <v>21</v>
      </c>
      <c r="K545" s="9" t="s">
        <v>21</v>
      </c>
      <c r="L545" s="10">
        <v>45267</v>
      </c>
      <c r="M545" s="9">
        <f t="shared" ca="1" si="33"/>
        <v>2.4166666666666665</v>
      </c>
      <c r="N545" s="9">
        <v>6247</v>
      </c>
      <c r="O545" s="9" t="str">
        <f t="shared" si="34"/>
        <v>ديسمبر</v>
      </c>
      <c r="P545" s="7" t="str">
        <f t="shared" si="35"/>
        <v>راتب طبيعي</v>
      </c>
    </row>
    <row r="546" spans="1:16" x14ac:dyDescent="0.3">
      <c r="A546" s="7">
        <v>58593</v>
      </c>
      <c r="B546" s="7" t="s">
        <v>1125</v>
      </c>
      <c r="C546" s="7" t="s">
        <v>1126</v>
      </c>
      <c r="D546" s="7" t="s">
        <v>16</v>
      </c>
      <c r="E546" s="7" t="s">
        <v>17</v>
      </c>
      <c r="F546" s="8">
        <v>33416</v>
      </c>
      <c r="G546" s="7">
        <f t="shared" ca="1" si="32"/>
        <v>34.861111111111114</v>
      </c>
      <c r="H546" s="7" t="s">
        <v>36</v>
      </c>
      <c r="I546" s="7" t="s">
        <v>25</v>
      </c>
      <c r="J546" s="7" t="s">
        <v>20</v>
      </c>
      <c r="K546" s="7" t="s">
        <v>21</v>
      </c>
      <c r="L546" s="8">
        <v>45268</v>
      </c>
      <c r="M546" s="7">
        <f t="shared" ca="1" si="33"/>
        <v>2.4138888888888888</v>
      </c>
      <c r="N546" s="7">
        <v>4574</v>
      </c>
      <c r="O546" s="7" t="str">
        <f t="shared" si="34"/>
        <v>ديسمبر</v>
      </c>
      <c r="P546" s="7" t="str">
        <f t="shared" si="35"/>
        <v>راتب عالي</v>
      </c>
    </row>
    <row r="547" spans="1:16" x14ac:dyDescent="0.3">
      <c r="A547" s="9">
        <v>52626</v>
      </c>
      <c r="B547" s="9" t="s">
        <v>1127</v>
      </c>
      <c r="C547" s="9" t="s">
        <v>1128</v>
      </c>
      <c r="D547" s="9" t="s">
        <v>40</v>
      </c>
      <c r="E547" s="9" t="s">
        <v>35</v>
      </c>
      <c r="F547" s="10">
        <v>35452</v>
      </c>
      <c r="G547" s="7">
        <f t="shared" ca="1" si="32"/>
        <v>29.291666666666668</v>
      </c>
      <c r="H547" s="9" t="s">
        <v>18</v>
      </c>
      <c r="I547" s="9" t="s">
        <v>19</v>
      </c>
      <c r="J547" s="9" t="s">
        <v>20</v>
      </c>
      <c r="K547" s="9" t="s">
        <v>26</v>
      </c>
      <c r="L547" s="10">
        <v>45269</v>
      </c>
      <c r="M547" s="9">
        <f t="shared" ca="1" si="33"/>
        <v>2.411111111111111</v>
      </c>
      <c r="N547" s="9">
        <v>21686</v>
      </c>
      <c r="O547" s="9" t="str">
        <f t="shared" si="34"/>
        <v>ديسمبر</v>
      </c>
      <c r="P547" s="7" t="str">
        <f t="shared" si="35"/>
        <v>راتب طبيعي</v>
      </c>
    </row>
    <row r="548" spans="1:16" x14ac:dyDescent="0.3">
      <c r="A548" s="7">
        <v>59130</v>
      </c>
      <c r="B548" s="7" t="s">
        <v>1129</v>
      </c>
      <c r="C548" s="7" t="s">
        <v>1130</v>
      </c>
      <c r="D548" s="7" t="s">
        <v>43</v>
      </c>
      <c r="E548" s="7" t="s">
        <v>35</v>
      </c>
      <c r="F548" s="8">
        <v>37682</v>
      </c>
      <c r="G548" s="7">
        <f t="shared" ca="1" si="32"/>
        <v>23.180555555555557</v>
      </c>
      <c r="H548" s="7" t="s">
        <v>18</v>
      </c>
      <c r="I548" s="7" t="s">
        <v>46</v>
      </c>
      <c r="J548" s="7" t="s">
        <v>27</v>
      </c>
      <c r="K548" s="7" t="s">
        <v>26</v>
      </c>
      <c r="L548" s="8">
        <v>45270</v>
      </c>
      <c r="M548" s="7">
        <f t="shared" ca="1" si="33"/>
        <v>2.4083333333333332</v>
      </c>
      <c r="N548" s="7">
        <v>11001</v>
      </c>
      <c r="O548" s="7" t="str">
        <f t="shared" si="34"/>
        <v>ديسمبر</v>
      </c>
      <c r="P548" s="7" t="str">
        <f t="shared" si="35"/>
        <v>راتب طبيعي</v>
      </c>
    </row>
    <row r="549" spans="1:16" x14ac:dyDescent="0.3">
      <c r="A549" s="9">
        <v>52615</v>
      </c>
      <c r="B549" s="9" t="s">
        <v>1131</v>
      </c>
      <c r="C549" s="9" t="s">
        <v>1132</v>
      </c>
      <c r="D549" s="9" t="s">
        <v>34</v>
      </c>
      <c r="E549" s="9" t="s">
        <v>17</v>
      </c>
      <c r="F549" s="10">
        <v>35903</v>
      </c>
      <c r="G549" s="7">
        <f t="shared" ca="1" si="32"/>
        <v>28.052777777777777</v>
      </c>
      <c r="H549" s="9" t="s">
        <v>18</v>
      </c>
      <c r="I549" s="9" t="s">
        <v>25</v>
      </c>
      <c r="J549" s="9" t="s">
        <v>21</v>
      </c>
      <c r="K549" s="9" t="s">
        <v>26</v>
      </c>
      <c r="L549" s="10">
        <v>45271</v>
      </c>
      <c r="M549" s="9">
        <f t="shared" ca="1" si="33"/>
        <v>2.4055555555555554</v>
      </c>
      <c r="N549" s="9">
        <v>4413</v>
      </c>
      <c r="O549" s="9" t="str">
        <f t="shared" si="34"/>
        <v>ديسمبر</v>
      </c>
      <c r="P549" s="7" t="str">
        <f t="shared" si="35"/>
        <v>راتب عالي</v>
      </c>
    </row>
    <row r="550" spans="1:16" x14ac:dyDescent="0.3">
      <c r="A550" s="7">
        <v>51066</v>
      </c>
      <c r="B550" s="7" t="s">
        <v>1133</v>
      </c>
      <c r="C550" s="7" t="s">
        <v>1134</v>
      </c>
      <c r="D550" s="7" t="s">
        <v>66</v>
      </c>
      <c r="E550" s="7" t="s">
        <v>17</v>
      </c>
      <c r="F550" s="8">
        <v>36511</v>
      </c>
      <c r="G550" s="7">
        <f t="shared" ca="1" si="32"/>
        <v>26.388888888888889</v>
      </c>
      <c r="H550" s="7" t="s">
        <v>36</v>
      </c>
      <c r="I550" s="7" t="s">
        <v>25</v>
      </c>
      <c r="J550" s="7" t="s">
        <v>21</v>
      </c>
      <c r="K550" s="7" t="s">
        <v>27</v>
      </c>
      <c r="L550" s="8">
        <v>45272</v>
      </c>
      <c r="M550" s="7">
        <f t="shared" ca="1" si="33"/>
        <v>2.4027777777777777</v>
      </c>
      <c r="N550" s="7">
        <v>5842</v>
      </c>
      <c r="O550" s="7" t="str">
        <f t="shared" si="34"/>
        <v>ديسمبر</v>
      </c>
      <c r="P550" s="7" t="str">
        <f t="shared" si="35"/>
        <v>راتب عالي</v>
      </c>
    </row>
    <row r="551" spans="1:16" x14ac:dyDescent="0.3">
      <c r="A551" s="9">
        <v>58759</v>
      </c>
      <c r="B551" s="9" t="s">
        <v>1135</v>
      </c>
      <c r="C551" s="9" t="s">
        <v>1136</v>
      </c>
      <c r="D551" s="9" t="s">
        <v>66</v>
      </c>
      <c r="E551" s="9" t="s">
        <v>35</v>
      </c>
      <c r="F551" s="10">
        <v>33244</v>
      </c>
      <c r="G551" s="7">
        <f t="shared" ca="1" si="32"/>
        <v>35.336111111111109</v>
      </c>
      <c r="H551" s="9" t="s">
        <v>36</v>
      </c>
      <c r="I551" s="9" t="s">
        <v>25</v>
      </c>
      <c r="J551" s="9" t="s">
        <v>20</v>
      </c>
      <c r="K551" s="9" t="s">
        <v>20</v>
      </c>
      <c r="L551" s="10">
        <v>45273</v>
      </c>
      <c r="M551" s="9">
        <f t="shared" ca="1" si="33"/>
        <v>2.4</v>
      </c>
      <c r="N551" s="9">
        <v>5116</v>
      </c>
      <c r="O551" s="9" t="str">
        <f t="shared" si="34"/>
        <v>ديسمبر</v>
      </c>
      <c r="P551" s="7" t="str">
        <f t="shared" si="35"/>
        <v>راتب عالي</v>
      </c>
    </row>
    <row r="552" spans="1:16" x14ac:dyDescent="0.3">
      <c r="A552" s="7">
        <v>59427</v>
      </c>
      <c r="B552" s="7" t="s">
        <v>1137</v>
      </c>
      <c r="C552" s="7" t="s">
        <v>1138</v>
      </c>
      <c r="D552" s="7" t="s">
        <v>66</v>
      </c>
      <c r="E552" s="7" t="s">
        <v>17</v>
      </c>
      <c r="F552" s="8">
        <v>33187</v>
      </c>
      <c r="G552" s="7">
        <f t="shared" ca="1" si="32"/>
        <v>35.491666666666667</v>
      </c>
      <c r="H552" s="7" t="s">
        <v>18</v>
      </c>
      <c r="I552" s="7" t="s">
        <v>25</v>
      </c>
      <c r="J552" s="7" t="s">
        <v>26</v>
      </c>
      <c r="K552" s="7" t="s">
        <v>26</v>
      </c>
      <c r="L552" s="8">
        <v>45274</v>
      </c>
      <c r="M552" s="7">
        <f t="shared" ca="1" si="33"/>
        <v>2.3972222222222221</v>
      </c>
      <c r="N552" s="7">
        <v>6382</v>
      </c>
      <c r="O552" s="7" t="str">
        <f t="shared" si="34"/>
        <v>ديسمبر</v>
      </c>
      <c r="P552" s="7" t="str">
        <f t="shared" si="35"/>
        <v>راتب طبيعي</v>
      </c>
    </row>
    <row r="553" spans="1:16" x14ac:dyDescent="0.3">
      <c r="A553" s="9">
        <v>52772</v>
      </c>
      <c r="B553" s="9" t="s">
        <v>1139</v>
      </c>
      <c r="C553" s="9" t="s">
        <v>1140</v>
      </c>
      <c r="D553" s="9" t="s">
        <v>43</v>
      </c>
      <c r="E553" s="9" t="s">
        <v>17</v>
      </c>
      <c r="F553" s="10">
        <v>32662</v>
      </c>
      <c r="G553" s="7">
        <f t="shared" ca="1" si="32"/>
        <v>36.927777777777777</v>
      </c>
      <c r="H553" s="9" t="s">
        <v>36</v>
      </c>
      <c r="I553" s="9" t="s">
        <v>25</v>
      </c>
      <c r="J553" s="9" t="s">
        <v>27</v>
      </c>
      <c r="K553" s="9" t="s">
        <v>21</v>
      </c>
      <c r="L553" s="10">
        <v>45275</v>
      </c>
      <c r="M553" s="9">
        <f t="shared" ca="1" si="33"/>
        <v>2.3944444444444444</v>
      </c>
      <c r="N553" s="9">
        <v>5735</v>
      </c>
      <c r="O553" s="9" t="str">
        <f t="shared" si="34"/>
        <v>ديسمبر</v>
      </c>
      <c r="P553" s="7" t="str">
        <f t="shared" si="35"/>
        <v>راتب عالي</v>
      </c>
    </row>
    <row r="554" spans="1:16" x14ac:dyDescent="0.3">
      <c r="A554" s="7">
        <v>59043</v>
      </c>
      <c r="B554" s="7" t="s">
        <v>1141</v>
      </c>
      <c r="C554" s="7" t="s">
        <v>1142</v>
      </c>
      <c r="D554" s="7" t="s">
        <v>34</v>
      </c>
      <c r="E554" s="7" t="s">
        <v>35</v>
      </c>
      <c r="F554" s="8">
        <v>34341</v>
      </c>
      <c r="G554" s="7">
        <f t="shared" ca="1" si="32"/>
        <v>32.333333333333336</v>
      </c>
      <c r="H554" s="7" t="s">
        <v>18</v>
      </c>
      <c r="I554" s="7" t="s">
        <v>25</v>
      </c>
      <c r="J554" s="7" t="s">
        <v>27</v>
      </c>
      <c r="K554" s="7" t="s">
        <v>31</v>
      </c>
      <c r="L554" s="8">
        <v>45276</v>
      </c>
      <c r="M554" s="7">
        <f t="shared" ca="1" si="33"/>
        <v>2.3916666666666666</v>
      </c>
      <c r="N554" s="7">
        <v>4501</v>
      </c>
      <c r="O554" s="7" t="str">
        <f t="shared" si="34"/>
        <v>ديسمبر</v>
      </c>
      <c r="P554" s="7" t="str">
        <f t="shared" si="35"/>
        <v>راتب عالي</v>
      </c>
    </row>
    <row r="555" spans="1:16" x14ac:dyDescent="0.3">
      <c r="A555" s="9">
        <v>52675</v>
      </c>
      <c r="B555" s="9" t="s">
        <v>1143</v>
      </c>
      <c r="C555" s="9" t="s">
        <v>1144</v>
      </c>
      <c r="D555" s="9" t="s">
        <v>146</v>
      </c>
      <c r="E555" s="9" t="s">
        <v>17</v>
      </c>
      <c r="F555" s="10">
        <v>30608</v>
      </c>
      <c r="G555" s="7">
        <f t="shared" ca="1" si="32"/>
        <v>42.55</v>
      </c>
      <c r="H555" s="9" t="s">
        <v>36</v>
      </c>
      <c r="I555" s="9" t="s">
        <v>25</v>
      </c>
      <c r="J555" s="9" t="s">
        <v>26</v>
      </c>
      <c r="K555" s="9" t="s">
        <v>31</v>
      </c>
      <c r="L555" s="10">
        <v>45277</v>
      </c>
      <c r="M555" s="9">
        <f t="shared" ca="1" si="33"/>
        <v>2.3888888888888888</v>
      </c>
      <c r="N555" s="9">
        <v>3649</v>
      </c>
      <c r="O555" s="9" t="str">
        <f t="shared" si="34"/>
        <v>ديسمبر</v>
      </c>
      <c r="P555" s="7" t="str">
        <f t="shared" si="35"/>
        <v>راتب عالي</v>
      </c>
    </row>
    <row r="556" spans="1:16" x14ac:dyDescent="0.3">
      <c r="A556" s="7">
        <v>56206</v>
      </c>
      <c r="B556" s="7" t="s">
        <v>1145</v>
      </c>
      <c r="C556" s="7" t="s">
        <v>1146</v>
      </c>
      <c r="D556" s="7" t="s">
        <v>34</v>
      </c>
      <c r="E556" s="7" t="s">
        <v>17</v>
      </c>
      <c r="F556" s="8">
        <v>33547</v>
      </c>
      <c r="G556" s="7">
        <f t="shared" ca="1" si="32"/>
        <v>34.505555555555553</v>
      </c>
      <c r="H556" s="7" t="s">
        <v>36</v>
      </c>
      <c r="I556" s="7" t="s">
        <v>25</v>
      </c>
      <c r="J556" s="7" t="s">
        <v>21</v>
      </c>
      <c r="K556" s="7" t="s">
        <v>37</v>
      </c>
      <c r="L556" s="8">
        <v>45278</v>
      </c>
      <c r="M556" s="7">
        <f t="shared" ca="1" si="33"/>
        <v>2.3861111111111111</v>
      </c>
      <c r="N556" s="7">
        <v>6707</v>
      </c>
      <c r="O556" s="7" t="str">
        <f t="shared" si="34"/>
        <v>ديسمبر</v>
      </c>
      <c r="P556" s="7" t="str">
        <f t="shared" si="35"/>
        <v>راتب طبيعي</v>
      </c>
    </row>
    <row r="557" spans="1:16" x14ac:dyDescent="0.3">
      <c r="A557" s="9">
        <v>58603</v>
      </c>
      <c r="B557" s="9" t="s">
        <v>1147</v>
      </c>
      <c r="C557" s="9" t="s">
        <v>1148</v>
      </c>
      <c r="D557" s="9" t="s">
        <v>53</v>
      </c>
      <c r="E557" s="9" t="s">
        <v>35</v>
      </c>
      <c r="F557" s="10">
        <v>33581</v>
      </c>
      <c r="G557" s="7">
        <f t="shared" ca="1" si="32"/>
        <v>34.411111111111111</v>
      </c>
      <c r="H557" s="9" t="s">
        <v>36</v>
      </c>
      <c r="I557" s="9" t="s">
        <v>46</v>
      </c>
      <c r="J557" s="9" t="s">
        <v>26</v>
      </c>
      <c r="K557" s="9" t="s">
        <v>31</v>
      </c>
      <c r="L557" s="10">
        <v>45279</v>
      </c>
      <c r="M557" s="9">
        <f t="shared" ca="1" si="33"/>
        <v>2.3833333333333333</v>
      </c>
      <c r="N557" s="9">
        <v>12867</v>
      </c>
      <c r="O557" s="9" t="str">
        <f t="shared" si="34"/>
        <v>ديسمبر</v>
      </c>
      <c r="P557" s="7" t="str">
        <f t="shared" si="35"/>
        <v>راتب طبيعي</v>
      </c>
    </row>
    <row r="558" spans="1:16" x14ac:dyDescent="0.3">
      <c r="A558" s="7">
        <v>53971</v>
      </c>
      <c r="B558" s="7" t="s">
        <v>1149</v>
      </c>
      <c r="C558" s="7" t="s">
        <v>1150</v>
      </c>
      <c r="D558" s="7" t="s">
        <v>146</v>
      </c>
      <c r="E558" s="7" t="s">
        <v>17</v>
      </c>
      <c r="F558" s="8">
        <v>36541</v>
      </c>
      <c r="G558" s="7">
        <f t="shared" ca="1" si="32"/>
        <v>26.308333333333334</v>
      </c>
      <c r="H558" s="7" t="s">
        <v>18</v>
      </c>
      <c r="I558" s="7" t="s">
        <v>25</v>
      </c>
      <c r="J558" s="7" t="s">
        <v>31</v>
      </c>
      <c r="K558" s="7" t="s">
        <v>21</v>
      </c>
      <c r="L558" s="8">
        <v>45280</v>
      </c>
      <c r="M558" s="7">
        <f t="shared" ca="1" si="33"/>
        <v>2.3805555555555555</v>
      </c>
      <c r="N558" s="7">
        <v>4666</v>
      </c>
      <c r="O558" s="7" t="str">
        <f t="shared" si="34"/>
        <v>ديسمبر</v>
      </c>
      <c r="P558" s="7" t="str">
        <f t="shared" si="35"/>
        <v>راتب عالي</v>
      </c>
    </row>
    <row r="559" spans="1:16" x14ac:dyDescent="0.3">
      <c r="A559" s="9">
        <v>52994</v>
      </c>
      <c r="B559" s="9" t="s">
        <v>1151</v>
      </c>
      <c r="C559" s="9" t="s">
        <v>1152</v>
      </c>
      <c r="D559" s="9" t="s">
        <v>40</v>
      </c>
      <c r="E559" s="9" t="s">
        <v>35</v>
      </c>
      <c r="F559" s="10">
        <v>34560</v>
      </c>
      <c r="G559" s="7">
        <f t="shared" ca="1" si="32"/>
        <v>31.730555555555554</v>
      </c>
      <c r="H559" s="9" t="s">
        <v>36</v>
      </c>
      <c r="I559" s="9" t="s">
        <v>25</v>
      </c>
      <c r="J559" s="9" t="s">
        <v>31</v>
      </c>
      <c r="K559" s="9" t="s">
        <v>20</v>
      </c>
      <c r="L559" s="10">
        <v>45281</v>
      </c>
      <c r="M559" s="9">
        <f t="shared" ca="1" si="33"/>
        <v>2.3777777777777778</v>
      </c>
      <c r="N559" s="9">
        <v>6847</v>
      </c>
      <c r="O559" s="9" t="str">
        <f t="shared" si="34"/>
        <v>ديسمبر</v>
      </c>
      <c r="P559" s="7" t="str">
        <f t="shared" si="35"/>
        <v>راتب طبيعي</v>
      </c>
    </row>
    <row r="560" spans="1:16" x14ac:dyDescent="0.3">
      <c r="A560" s="7">
        <v>50838</v>
      </c>
      <c r="B560" s="7" t="s">
        <v>1153</v>
      </c>
      <c r="C560" s="7" t="s">
        <v>1154</v>
      </c>
      <c r="D560" s="7" t="s">
        <v>16</v>
      </c>
      <c r="E560" s="7" t="s">
        <v>35</v>
      </c>
      <c r="F560" s="8">
        <v>35810</v>
      </c>
      <c r="G560" s="7">
        <f t="shared" ca="1" si="32"/>
        <v>28.31111111111111</v>
      </c>
      <c r="H560" s="7" t="s">
        <v>18</v>
      </c>
      <c r="I560" s="7" t="s">
        <v>25</v>
      </c>
      <c r="J560" s="7" t="s">
        <v>27</v>
      </c>
      <c r="K560" s="7" t="s">
        <v>20</v>
      </c>
      <c r="L560" s="8">
        <v>45282</v>
      </c>
      <c r="M560" s="7">
        <f t="shared" ca="1" si="33"/>
        <v>2.375</v>
      </c>
      <c r="N560" s="7">
        <v>6302</v>
      </c>
      <c r="O560" s="7" t="str">
        <f t="shared" si="34"/>
        <v>ديسمبر</v>
      </c>
      <c r="P560" s="7" t="str">
        <f t="shared" si="35"/>
        <v>راتب طبيعي</v>
      </c>
    </row>
    <row r="561" spans="1:16" x14ac:dyDescent="0.3">
      <c r="A561" s="9">
        <v>50039</v>
      </c>
      <c r="B561" s="9" t="s">
        <v>1155</v>
      </c>
      <c r="C561" s="9" t="s">
        <v>1156</v>
      </c>
      <c r="D561" s="9" t="s">
        <v>53</v>
      </c>
      <c r="E561" s="9" t="s">
        <v>17</v>
      </c>
      <c r="F561" s="10">
        <v>32318</v>
      </c>
      <c r="G561" s="7">
        <f t="shared" ca="1" si="32"/>
        <v>37.869444444444447</v>
      </c>
      <c r="H561" s="9" t="s">
        <v>36</v>
      </c>
      <c r="I561" s="9" t="s">
        <v>25</v>
      </c>
      <c r="J561" s="9" t="s">
        <v>27</v>
      </c>
      <c r="K561" s="9" t="s">
        <v>20</v>
      </c>
      <c r="L561" s="10">
        <v>45283</v>
      </c>
      <c r="M561" s="9">
        <f t="shared" ca="1" si="33"/>
        <v>2.3722222222222222</v>
      </c>
      <c r="N561" s="9">
        <v>6300</v>
      </c>
      <c r="O561" s="9" t="str">
        <f t="shared" si="34"/>
        <v>ديسمبر</v>
      </c>
      <c r="P561" s="7" t="str">
        <f t="shared" si="35"/>
        <v>راتب طبيعي</v>
      </c>
    </row>
    <row r="562" spans="1:16" x14ac:dyDescent="0.3">
      <c r="A562" s="7">
        <v>55004</v>
      </c>
      <c r="B562" s="7" t="s">
        <v>1157</v>
      </c>
      <c r="C562" s="7" t="s">
        <v>1158</v>
      </c>
      <c r="D562" s="7" t="s">
        <v>95</v>
      </c>
      <c r="E562" s="7" t="s">
        <v>35</v>
      </c>
      <c r="F562" s="8">
        <v>30179</v>
      </c>
      <c r="G562" s="7">
        <f t="shared" ca="1" si="32"/>
        <v>43.725000000000001</v>
      </c>
      <c r="H562" s="7" t="s">
        <v>18</v>
      </c>
      <c r="I562" s="7" t="s">
        <v>25</v>
      </c>
      <c r="J562" s="7" t="s">
        <v>20</v>
      </c>
      <c r="K562" s="7" t="s">
        <v>27</v>
      </c>
      <c r="L562" s="8">
        <v>45284</v>
      </c>
      <c r="M562" s="7">
        <f t="shared" ca="1" si="33"/>
        <v>2.3694444444444445</v>
      </c>
      <c r="N562" s="7">
        <v>4596</v>
      </c>
      <c r="O562" s="7" t="str">
        <f t="shared" si="34"/>
        <v>ديسمبر</v>
      </c>
      <c r="P562" s="7" t="str">
        <f t="shared" si="35"/>
        <v>راتب عالي</v>
      </c>
    </row>
    <row r="563" spans="1:16" x14ac:dyDescent="0.3">
      <c r="A563" s="9">
        <v>56874</v>
      </c>
      <c r="B563" s="9" t="s">
        <v>1159</v>
      </c>
      <c r="C563" s="9" t="s">
        <v>1160</v>
      </c>
      <c r="D563" s="9" t="s">
        <v>95</v>
      </c>
      <c r="E563" s="9" t="s">
        <v>17</v>
      </c>
      <c r="F563" s="10">
        <v>33837</v>
      </c>
      <c r="G563" s="7">
        <f t="shared" ca="1" si="32"/>
        <v>33.711111111111109</v>
      </c>
      <c r="H563" s="9" t="s">
        <v>18</v>
      </c>
      <c r="I563" s="9" t="s">
        <v>25</v>
      </c>
      <c r="J563" s="9" t="s">
        <v>27</v>
      </c>
      <c r="K563" s="9" t="s">
        <v>31</v>
      </c>
      <c r="L563" s="10">
        <v>45285</v>
      </c>
      <c r="M563" s="9">
        <f t="shared" ca="1" si="33"/>
        <v>2.3666666666666667</v>
      </c>
      <c r="N563" s="9">
        <v>6193</v>
      </c>
      <c r="O563" s="9" t="str">
        <f t="shared" si="34"/>
        <v>ديسمبر</v>
      </c>
      <c r="P563" s="7" t="str">
        <f t="shared" si="35"/>
        <v>راتب طبيعي</v>
      </c>
    </row>
    <row r="564" spans="1:16" x14ac:dyDescent="0.3">
      <c r="A564" s="7">
        <v>54213</v>
      </c>
      <c r="B564" s="7" t="s">
        <v>1161</v>
      </c>
      <c r="C564" s="7" t="s">
        <v>1162</v>
      </c>
      <c r="D564" s="7" t="s">
        <v>40</v>
      </c>
      <c r="E564" s="7" t="s">
        <v>35</v>
      </c>
      <c r="F564" s="8">
        <v>36047</v>
      </c>
      <c r="G564" s="7">
        <f t="shared" ca="1" si="32"/>
        <v>27.661111111111111</v>
      </c>
      <c r="H564" s="7" t="s">
        <v>18</v>
      </c>
      <c r="I564" s="7" t="s">
        <v>19</v>
      </c>
      <c r="J564" s="7" t="s">
        <v>31</v>
      </c>
      <c r="K564" s="7" t="s">
        <v>27</v>
      </c>
      <c r="L564" s="8">
        <v>45286</v>
      </c>
      <c r="M564" s="7">
        <f t="shared" ca="1" si="33"/>
        <v>2.3638888888888889</v>
      </c>
      <c r="N564" s="7">
        <v>24756</v>
      </c>
      <c r="O564" s="7" t="str">
        <f t="shared" si="34"/>
        <v>ديسمبر</v>
      </c>
      <c r="P564" s="7" t="str">
        <f t="shared" si="35"/>
        <v>راتب طبيعي</v>
      </c>
    </row>
    <row r="565" spans="1:16" x14ac:dyDescent="0.3">
      <c r="A565" s="9">
        <v>53688</v>
      </c>
      <c r="B565" s="9" t="s">
        <v>1163</v>
      </c>
      <c r="C565" s="9" t="s">
        <v>1164</v>
      </c>
      <c r="D565" s="9" t="s">
        <v>66</v>
      </c>
      <c r="E565" s="9" t="s">
        <v>35</v>
      </c>
      <c r="F565" s="10">
        <v>35200</v>
      </c>
      <c r="G565" s="7">
        <f t="shared" ca="1" si="32"/>
        <v>29.977777777777778</v>
      </c>
      <c r="H565" s="9" t="s">
        <v>18</v>
      </c>
      <c r="I565" s="9" t="s">
        <v>25</v>
      </c>
      <c r="J565" s="9" t="s">
        <v>27</v>
      </c>
      <c r="K565" s="9" t="s">
        <v>31</v>
      </c>
      <c r="L565" s="10">
        <v>45287</v>
      </c>
      <c r="M565" s="9">
        <f t="shared" ca="1" si="33"/>
        <v>2.3611111111111112</v>
      </c>
      <c r="N565" s="9">
        <v>4982</v>
      </c>
      <c r="O565" s="9" t="str">
        <f t="shared" si="34"/>
        <v>ديسمبر</v>
      </c>
      <c r="P565" s="7" t="str">
        <f t="shared" si="35"/>
        <v>راتب عالي</v>
      </c>
    </row>
    <row r="566" spans="1:16" x14ac:dyDescent="0.3">
      <c r="A566" s="7">
        <v>56350</v>
      </c>
      <c r="B566" s="7" t="s">
        <v>1165</v>
      </c>
      <c r="C566" s="7" t="s">
        <v>1166</v>
      </c>
      <c r="D566" s="7" t="s">
        <v>34</v>
      </c>
      <c r="E566" s="7" t="s">
        <v>35</v>
      </c>
      <c r="F566" s="8">
        <v>34519</v>
      </c>
      <c r="G566" s="7">
        <f t="shared" ca="1" si="32"/>
        <v>31.841666666666665</v>
      </c>
      <c r="H566" s="7" t="s">
        <v>18</v>
      </c>
      <c r="I566" s="7" t="s">
        <v>25</v>
      </c>
      <c r="J566" s="7" t="s">
        <v>27</v>
      </c>
      <c r="K566" s="7" t="s">
        <v>20</v>
      </c>
      <c r="L566" s="8">
        <v>45288</v>
      </c>
      <c r="M566" s="7">
        <f t="shared" ca="1" si="33"/>
        <v>2.3583333333333334</v>
      </c>
      <c r="N566" s="7">
        <v>4023</v>
      </c>
      <c r="O566" s="7" t="str">
        <f t="shared" si="34"/>
        <v>ديسمبر</v>
      </c>
      <c r="P566" s="7" t="str">
        <f t="shared" si="35"/>
        <v>راتب عالي</v>
      </c>
    </row>
    <row r="567" spans="1:16" x14ac:dyDescent="0.3">
      <c r="A567" s="9">
        <v>53649</v>
      </c>
      <c r="B567" s="9" t="s">
        <v>1167</v>
      </c>
      <c r="C567" s="9" t="s">
        <v>1168</v>
      </c>
      <c r="D567" s="9" t="s">
        <v>16</v>
      </c>
      <c r="E567" s="9" t="s">
        <v>35</v>
      </c>
      <c r="F567" s="10">
        <v>30457</v>
      </c>
      <c r="G567" s="7">
        <f t="shared" ca="1" si="32"/>
        <v>42.961111111111109</v>
      </c>
      <c r="H567" s="9" t="s">
        <v>36</v>
      </c>
      <c r="I567" s="9" t="s">
        <v>25</v>
      </c>
      <c r="J567" s="9" t="s">
        <v>20</v>
      </c>
      <c r="K567" s="9" t="s">
        <v>27</v>
      </c>
      <c r="L567" s="10">
        <v>45289</v>
      </c>
      <c r="M567" s="9">
        <f t="shared" ca="1" si="33"/>
        <v>2.3555555555555556</v>
      </c>
      <c r="N567" s="9">
        <v>5960</v>
      </c>
      <c r="O567" s="9" t="str">
        <f t="shared" si="34"/>
        <v>ديسمبر</v>
      </c>
      <c r="P567" s="7" t="str">
        <f t="shared" si="35"/>
        <v>راتب طبيعي</v>
      </c>
    </row>
    <row r="568" spans="1:16" x14ac:dyDescent="0.3">
      <c r="A568" s="7">
        <v>52290</v>
      </c>
      <c r="B568" s="7" t="s">
        <v>1169</v>
      </c>
      <c r="C568" s="7" t="s">
        <v>1170</v>
      </c>
      <c r="D568" s="7" t="s">
        <v>40</v>
      </c>
      <c r="E568" s="7" t="s">
        <v>35</v>
      </c>
      <c r="F568" s="8">
        <v>37181</v>
      </c>
      <c r="G568" s="7">
        <f t="shared" ca="1" si="32"/>
        <v>24.555555555555557</v>
      </c>
      <c r="H568" s="7" t="s">
        <v>18</v>
      </c>
      <c r="I568" s="7" t="s">
        <v>19</v>
      </c>
      <c r="J568" s="7" t="s">
        <v>20</v>
      </c>
      <c r="K568" s="7" t="s">
        <v>31</v>
      </c>
      <c r="L568" s="8">
        <v>45290</v>
      </c>
      <c r="M568" s="7">
        <f t="shared" ca="1" si="33"/>
        <v>2.3527777777777779</v>
      </c>
      <c r="N568" s="7">
        <v>29559</v>
      </c>
      <c r="O568" s="7" t="str">
        <f t="shared" si="34"/>
        <v>ديسمبر</v>
      </c>
      <c r="P568" s="7" t="str">
        <f t="shared" si="35"/>
        <v>راتب طبيعي</v>
      </c>
    </row>
    <row r="569" spans="1:16" x14ac:dyDescent="0.3">
      <c r="A569" s="9">
        <v>52420</v>
      </c>
      <c r="B569" s="9" t="s">
        <v>1171</v>
      </c>
      <c r="C569" s="9" t="s">
        <v>1172</v>
      </c>
      <c r="D569" s="9" t="s">
        <v>43</v>
      </c>
      <c r="E569" s="9" t="s">
        <v>17</v>
      </c>
      <c r="F569" s="10">
        <v>37170</v>
      </c>
      <c r="G569" s="7">
        <f t="shared" ca="1" si="32"/>
        <v>24.586111111111112</v>
      </c>
      <c r="H569" s="9" t="s">
        <v>36</v>
      </c>
      <c r="I569" s="9" t="s">
        <v>19</v>
      </c>
      <c r="J569" s="9" t="s">
        <v>26</v>
      </c>
      <c r="K569" s="9" t="s">
        <v>31</v>
      </c>
      <c r="L569" s="10">
        <v>45291</v>
      </c>
      <c r="M569" s="9">
        <f t="shared" ca="1" si="33"/>
        <v>2.3527777777777779</v>
      </c>
      <c r="N569" s="9">
        <v>18070</v>
      </c>
      <c r="O569" s="9" t="str">
        <f t="shared" si="34"/>
        <v>ديسمبر</v>
      </c>
      <c r="P569" s="7" t="str">
        <f t="shared" si="35"/>
        <v>راتب طبيعي</v>
      </c>
    </row>
    <row r="570" spans="1:16" x14ac:dyDescent="0.3">
      <c r="A570" s="7">
        <v>54146</v>
      </c>
      <c r="B570" s="7" t="s">
        <v>1173</v>
      </c>
      <c r="C570" s="7" t="s">
        <v>1174</v>
      </c>
      <c r="D570" s="7" t="s">
        <v>43</v>
      </c>
      <c r="E570" s="7" t="s">
        <v>17</v>
      </c>
      <c r="F570" s="8">
        <v>33520</v>
      </c>
      <c r="G570" s="7">
        <f t="shared" ca="1" si="32"/>
        <v>34.577777777777776</v>
      </c>
      <c r="H570" s="7" t="s">
        <v>18</v>
      </c>
      <c r="I570" s="7" t="s">
        <v>19</v>
      </c>
      <c r="J570" s="7" t="s">
        <v>20</v>
      </c>
      <c r="K570" s="7" t="s">
        <v>26</v>
      </c>
      <c r="L570" s="8">
        <v>45292</v>
      </c>
      <c r="M570" s="7">
        <f t="shared" ca="1" si="33"/>
        <v>2.35</v>
      </c>
      <c r="N570" s="7">
        <v>22589</v>
      </c>
      <c r="O570" s="7" t="str">
        <f t="shared" si="34"/>
        <v>يناير</v>
      </c>
      <c r="P570" s="7" t="str">
        <f t="shared" si="35"/>
        <v>راتب طبيعي</v>
      </c>
    </row>
    <row r="571" spans="1:16" x14ac:dyDescent="0.3">
      <c r="A571" s="9">
        <v>52910</v>
      </c>
      <c r="B571" s="9" t="s">
        <v>1175</v>
      </c>
      <c r="C571" s="9" t="s">
        <v>1176</v>
      </c>
      <c r="D571" s="9" t="s">
        <v>40</v>
      </c>
      <c r="E571" s="9" t="s">
        <v>35</v>
      </c>
      <c r="F571" s="10">
        <v>34004</v>
      </c>
      <c r="G571" s="7">
        <f t="shared" ca="1" si="32"/>
        <v>33.258333333333333</v>
      </c>
      <c r="H571" s="9" t="s">
        <v>18</v>
      </c>
      <c r="I571" s="9" t="s">
        <v>25</v>
      </c>
      <c r="J571" s="9" t="s">
        <v>21</v>
      </c>
      <c r="K571" s="9" t="s">
        <v>31</v>
      </c>
      <c r="L571" s="10">
        <v>45293</v>
      </c>
      <c r="M571" s="9">
        <f t="shared" ca="1" si="33"/>
        <v>2.3472222222222223</v>
      </c>
      <c r="N571" s="9">
        <v>5659</v>
      </c>
      <c r="O571" s="9" t="str">
        <f t="shared" si="34"/>
        <v>يناير</v>
      </c>
      <c r="P571" s="7" t="str">
        <f t="shared" si="35"/>
        <v>راتب عالي</v>
      </c>
    </row>
    <row r="572" spans="1:16" x14ac:dyDescent="0.3">
      <c r="A572" s="7">
        <v>57141</v>
      </c>
      <c r="B572" s="7" t="s">
        <v>1177</v>
      </c>
      <c r="C572" s="7" t="s">
        <v>1178</v>
      </c>
      <c r="D572" s="7" t="s">
        <v>66</v>
      </c>
      <c r="E572" s="7" t="s">
        <v>35</v>
      </c>
      <c r="F572" s="8">
        <v>33444</v>
      </c>
      <c r="G572" s="7">
        <f t="shared" ca="1" si="32"/>
        <v>34.783333333333331</v>
      </c>
      <c r="H572" s="7" t="s">
        <v>18</v>
      </c>
      <c r="I572" s="7" t="s">
        <v>25</v>
      </c>
      <c r="J572" s="7" t="s">
        <v>27</v>
      </c>
      <c r="K572" s="7" t="s">
        <v>26</v>
      </c>
      <c r="L572" s="8">
        <v>45294</v>
      </c>
      <c r="M572" s="7">
        <f t="shared" ca="1" si="33"/>
        <v>2.3444444444444446</v>
      </c>
      <c r="N572" s="7">
        <v>3425</v>
      </c>
      <c r="O572" s="7" t="str">
        <f t="shared" si="34"/>
        <v>يناير</v>
      </c>
      <c r="P572" s="7" t="str">
        <f t="shared" si="35"/>
        <v>راتب عالي</v>
      </c>
    </row>
    <row r="573" spans="1:16" x14ac:dyDescent="0.3">
      <c r="A573" s="9">
        <v>52919</v>
      </c>
      <c r="B573" s="9" t="s">
        <v>1179</v>
      </c>
      <c r="C573" s="9" t="s">
        <v>1180</v>
      </c>
      <c r="D573" s="9" t="s">
        <v>40</v>
      </c>
      <c r="E573" s="9" t="s">
        <v>17</v>
      </c>
      <c r="F573" s="10">
        <v>37737</v>
      </c>
      <c r="G573" s="7">
        <f t="shared" ca="1" si="32"/>
        <v>23.030555555555555</v>
      </c>
      <c r="H573" s="9" t="s">
        <v>18</v>
      </c>
      <c r="I573" s="9" t="s">
        <v>25</v>
      </c>
      <c r="J573" s="9" t="s">
        <v>26</v>
      </c>
      <c r="K573" s="9" t="s">
        <v>21</v>
      </c>
      <c r="L573" s="10">
        <v>45295</v>
      </c>
      <c r="M573" s="9">
        <f t="shared" ca="1" si="33"/>
        <v>2.3416666666666668</v>
      </c>
      <c r="N573" s="9">
        <v>5335</v>
      </c>
      <c r="O573" s="9" t="str">
        <f t="shared" si="34"/>
        <v>يناير</v>
      </c>
      <c r="P573" s="7" t="str">
        <f t="shared" si="35"/>
        <v>راتب عالي</v>
      </c>
    </row>
    <row r="574" spans="1:16" x14ac:dyDescent="0.3">
      <c r="A574" s="7">
        <v>55200</v>
      </c>
      <c r="B574" s="7" t="s">
        <v>1181</v>
      </c>
      <c r="C574" s="7" t="s">
        <v>1182</v>
      </c>
      <c r="D574" s="7" t="s">
        <v>53</v>
      </c>
      <c r="E574" s="7" t="s">
        <v>35</v>
      </c>
      <c r="F574" s="8">
        <v>35100</v>
      </c>
      <c r="G574" s="7">
        <f t="shared" ca="1" si="32"/>
        <v>30.255555555555556</v>
      </c>
      <c r="H574" s="7" t="s">
        <v>18</v>
      </c>
      <c r="I574" s="7" t="s">
        <v>25</v>
      </c>
      <c r="J574" s="7" t="s">
        <v>26</v>
      </c>
      <c r="K574" s="7" t="s">
        <v>27</v>
      </c>
      <c r="L574" s="8">
        <v>45296</v>
      </c>
      <c r="M574" s="7">
        <f t="shared" ca="1" si="33"/>
        <v>2.338888888888889</v>
      </c>
      <c r="N574" s="7">
        <v>5248</v>
      </c>
      <c r="O574" s="7" t="str">
        <f t="shared" si="34"/>
        <v>يناير</v>
      </c>
      <c r="P574" s="7" t="str">
        <f t="shared" si="35"/>
        <v>راتب عالي</v>
      </c>
    </row>
    <row r="575" spans="1:16" x14ac:dyDescent="0.3">
      <c r="A575" s="9">
        <v>54761</v>
      </c>
      <c r="B575" s="9" t="s">
        <v>1183</v>
      </c>
      <c r="C575" s="9" t="s">
        <v>1184</v>
      </c>
      <c r="D575" s="9" t="s">
        <v>95</v>
      </c>
      <c r="E575" s="9" t="s">
        <v>17</v>
      </c>
      <c r="F575" s="10">
        <v>32738</v>
      </c>
      <c r="G575" s="7">
        <f t="shared" ca="1" si="32"/>
        <v>36.719444444444441</v>
      </c>
      <c r="H575" s="9" t="s">
        <v>36</v>
      </c>
      <c r="I575" s="9" t="s">
        <v>25</v>
      </c>
      <c r="J575" s="9" t="s">
        <v>31</v>
      </c>
      <c r="K575" s="9" t="s">
        <v>26</v>
      </c>
      <c r="L575" s="10">
        <v>45297</v>
      </c>
      <c r="M575" s="9">
        <f t="shared" ca="1" si="33"/>
        <v>2.3361111111111112</v>
      </c>
      <c r="N575" s="9">
        <v>3132</v>
      </c>
      <c r="O575" s="9" t="str">
        <f t="shared" si="34"/>
        <v>يناير</v>
      </c>
      <c r="P575" s="7" t="str">
        <f t="shared" si="35"/>
        <v>راتب عالي</v>
      </c>
    </row>
    <row r="576" spans="1:16" x14ac:dyDescent="0.3">
      <c r="A576" s="7">
        <v>56327</v>
      </c>
      <c r="B576" s="7" t="s">
        <v>1185</v>
      </c>
      <c r="C576" s="7" t="s">
        <v>1186</v>
      </c>
      <c r="D576" s="7" t="s">
        <v>30</v>
      </c>
      <c r="E576" s="7" t="s">
        <v>35</v>
      </c>
      <c r="F576" s="8">
        <v>35799</v>
      </c>
      <c r="G576" s="7">
        <f t="shared" ca="1" si="32"/>
        <v>28.341666666666665</v>
      </c>
      <c r="H576" s="7" t="s">
        <v>36</v>
      </c>
      <c r="I576" s="7" t="s">
        <v>25</v>
      </c>
      <c r="J576" s="7" t="s">
        <v>31</v>
      </c>
      <c r="K576" s="7" t="s">
        <v>20</v>
      </c>
      <c r="L576" s="8">
        <v>45298</v>
      </c>
      <c r="M576" s="7">
        <f t="shared" ca="1" si="33"/>
        <v>2.3333333333333335</v>
      </c>
      <c r="N576" s="7">
        <v>5014</v>
      </c>
      <c r="O576" s="7" t="str">
        <f t="shared" si="34"/>
        <v>يناير</v>
      </c>
      <c r="P576" s="7" t="str">
        <f t="shared" si="35"/>
        <v>راتب عالي</v>
      </c>
    </row>
    <row r="577" spans="1:16" x14ac:dyDescent="0.3">
      <c r="A577" s="9">
        <v>53359</v>
      </c>
      <c r="B577" s="9" t="s">
        <v>1187</v>
      </c>
      <c r="C577" s="9" t="s">
        <v>1188</v>
      </c>
      <c r="D577" s="9" t="s">
        <v>30</v>
      </c>
      <c r="E577" s="9" t="s">
        <v>35</v>
      </c>
      <c r="F577" s="10">
        <v>33096</v>
      </c>
      <c r="G577" s="7">
        <f t="shared" ca="1" si="32"/>
        <v>35.738888888888887</v>
      </c>
      <c r="H577" s="9" t="s">
        <v>18</v>
      </c>
      <c r="I577" s="9" t="s">
        <v>25</v>
      </c>
      <c r="J577" s="9" t="s">
        <v>27</v>
      </c>
      <c r="K577" s="9" t="s">
        <v>20</v>
      </c>
      <c r="L577" s="10">
        <v>45299</v>
      </c>
      <c r="M577" s="9">
        <f t="shared" ca="1" si="33"/>
        <v>2.3305555555555557</v>
      </c>
      <c r="N577" s="9">
        <v>3147</v>
      </c>
      <c r="O577" s="9" t="str">
        <f t="shared" si="34"/>
        <v>يناير</v>
      </c>
      <c r="P577" s="7" t="str">
        <f t="shared" si="35"/>
        <v>راتب عالي</v>
      </c>
    </row>
    <row r="578" spans="1:16" x14ac:dyDescent="0.3">
      <c r="A578" s="7">
        <v>57994</v>
      </c>
      <c r="B578" s="7" t="s">
        <v>1189</v>
      </c>
      <c r="C578" s="7" t="s">
        <v>1190</v>
      </c>
      <c r="D578" s="7" t="s">
        <v>146</v>
      </c>
      <c r="E578" s="7" t="s">
        <v>35</v>
      </c>
      <c r="F578" s="8">
        <v>36373</v>
      </c>
      <c r="G578" s="7">
        <f t="shared" ca="1" si="32"/>
        <v>26.766666666666666</v>
      </c>
      <c r="H578" s="7" t="s">
        <v>36</v>
      </c>
      <c r="I578" s="7" t="s">
        <v>19</v>
      </c>
      <c r="J578" s="7" t="s">
        <v>21</v>
      </c>
      <c r="K578" s="7" t="s">
        <v>20</v>
      </c>
      <c r="L578" s="8">
        <v>45300</v>
      </c>
      <c r="M578" s="7">
        <f t="shared" ca="1" si="33"/>
        <v>2.3277777777777779</v>
      </c>
      <c r="N578" s="7">
        <v>28349</v>
      </c>
      <c r="O578" s="7" t="str">
        <f t="shared" si="34"/>
        <v>يناير</v>
      </c>
      <c r="P578" s="7" t="str">
        <f t="shared" si="35"/>
        <v>راتب طبيعي</v>
      </c>
    </row>
    <row r="579" spans="1:16" x14ac:dyDescent="0.3">
      <c r="A579" s="9">
        <v>57767</v>
      </c>
      <c r="B579" s="9" t="s">
        <v>1191</v>
      </c>
      <c r="C579" s="9" t="s">
        <v>1192</v>
      </c>
      <c r="D579" s="9" t="s">
        <v>43</v>
      </c>
      <c r="E579" s="9" t="s">
        <v>17</v>
      </c>
      <c r="F579" s="10">
        <v>35458</v>
      </c>
      <c r="G579" s="7">
        <f t="shared" ref="G579:G642" ca="1" si="36">YEARFRAC(F579,TODAY())</f>
        <v>29.274999999999999</v>
      </c>
      <c r="H579" s="9" t="s">
        <v>18</v>
      </c>
      <c r="I579" s="9" t="s">
        <v>25</v>
      </c>
      <c r="J579" s="9" t="s">
        <v>31</v>
      </c>
      <c r="K579" s="9" t="s">
        <v>37</v>
      </c>
      <c r="L579" s="10">
        <v>45301</v>
      </c>
      <c r="M579" s="9">
        <f t="shared" ref="M579:M642" ca="1" si="37">YEARFRAC(L579,TODAY())</f>
        <v>2.3250000000000002</v>
      </c>
      <c r="N579" s="9">
        <v>6602</v>
      </c>
      <c r="O579" s="9" t="str">
        <f t="shared" ref="O579:O642" si="38">TEXT(L579,"mmm")</f>
        <v>يناير</v>
      </c>
      <c r="P579" s="7" t="str">
        <f t="shared" ref="P579:P642" si="39">IF(N579&gt;=S$10,"راتب طبيعي","راتب عالي")</f>
        <v>راتب طبيعي</v>
      </c>
    </row>
    <row r="580" spans="1:16" x14ac:dyDescent="0.3">
      <c r="A580" s="7">
        <v>56363</v>
      </c>
      <c r="B580" s="7" t="s">
        <v>1193</v>
      </c>
      <c r="C580" s="7" t="s">
        <v>1194</v>
      </c>
      <c r="D580" s="7" t="s">
        <v>95</v>
      </c>
      <c r="E580" s="7" t="s">
        <v>35</v>
      </c>
      <c r="F580" s="8">
        <v>37104</v>
      </c>
      <c r="G580" s="7">
        <f t="shared" ca="1" si="36"/>
        <v>24.766666666666666</v>
      </c>
      <c r="H580" s="7" t="s">
        <v>36</v>
      </c>
      <c r="I580" s="7" t="s">
        <v>25</v>
      </c>
      <c r="J580" s="7" t="s">
        <v>26</v>
      </c>
      <c r="K580" s="7" t="s">
        <v>21</v>
      </c>
      <c r="L580" s="8">
        <v>45302</v>
      </c>
      <c r="M580" s="7">
        <f t="shared" ca="1" si="37"/>
        <v>2.3222222222222224</v>
      </c>
      <c r="N580" s="7">
        <v>6342</v>
      </c>
      <c r="O580" s="7" t="str">
        <f t="shared" si="38"/>
        <v>يناير</v>
      </c>
      <c r="P580" s="7" t="str">
        <f t="shared" si="39"/>
        <v>راتب طبيعي</v>
      </c>
    </row>
    <row r="581" spans="1:16" x14ac:dyDescent="0.3">
      <c r="A581" s="9">
        <v>54870</v>
      </c>
      <c r="B581" s="9" t="s">
        <v>1195</v>
      </c>
      <c r="C581" s="9" t="s">
        <v>1196</v>
      </c>
      <c r="D581" s="9" t="s">
        <v>30</v>
      </c>
      <c r="E581" s="9" t="s">
        <v>17</v>
      </c>
      <c r="F581" s="10">
        <v>34182</v>
      </c>
      <c r="G581" s="7">
        <f t="shared" ca="1" si="36"/>
        <v>32.766666666666666</v>
      </c>
      <c r="H581" s="9" t="s">
        <v>18</v>
      </c>
      <c r="I581" s="9" t="s">
        <v>19</v>
      </c>
      <c r="J581" s="9" t="s">
        <v>27</v>
      </c>
      <c r="K581" s="9" t="s">
        <v>21</v>
      </c>
      <c r="L581" s="10">
        <v>45303</v>
      </c>
      <c r="M581" s="9">
        <f t="shared" ca="1" si="37"/>
        <v>2.3194444444444446</v>
      </c>
      <c r="N581" s="9">
        <v>29868</v>
      </c>
      <c r="O581" s="9" t="str">
        <f t="shared" si="38"/>
        <v>يناير</v>
      </c>
      <c r="P581" s="7" t="str">
        <f t="shared" si="39"/>
        <v>راتب طبيعي</v>
      </c>
    </row>
    <row r="582" spans="1:16" x14ac:dyDescent="0.3">
      <c r="A582" s="7">
        <v>55027</v>
      </c>
      <c r="B582" s="7" t="s">
        <v>1197</v>
      </c>
      <c r="C582" s="7" t="s">
        <v>1198</v>
      </c>
      <c r="D582" s="7" t="s">
        <v>40</v>
      </c>
      <c r="E582" s="7" t="s">
        <v>35</v>
      </c>
      <c r="F582" s="8">
        <v>34250</v>
      </c>
      <c r="G582" s="7">
        <f t="shared" ca="1" si="36"/>
        <v>32.580555555555556</v>
      </c>
      <c r="H582" s="7" t="s">
        <v>18</v>
      </c>
      <c r="I582" s="7" t="s">
        <v>25</v>
      </c>
      <c r="J582" s="7" t="s">
        <v>20</v>
      </c>
      <c r="K582" s="7" t="s">
        <v>37</v>
      </c>
      <c r="L582" s="8">
        <v>45304</v>
      </c>
      <c r="M582" s="7">
        <f t="shared" ca="1" si="37"/>
        <v>2.3166666666666669</v>
      </c>
      <c r="N582" s="7">
        <v>5221</v>
      </c>
      <c r="O582" s="7" t="str">
        <f t="shared" si="38"/>
        <v>يناير</v>
      </c>
      <c r="P582" s="7" t="str">
        <f t="shared" si="39"/>
        <v>راتب عالي</v>
      </c>
    </row>
    <row r="583" spans="1:16" x14ac:dyDescent="0.3">
      <c r="A583" s="9">
        <v>59853</v>
      </c>
      <c r="B583" s="9" t="s">
        <v>1199</v>
      </c>
      <c r="C583" s="9" t="s">
        <v>1200</v>
      </c>
      <c r="D583" s="9" t="s">
        <v>40</v>
      </c>
      <c r="E583" s="9" t="s">
        <v>17</v>
      </c>
      <c r="F583" s="10">
        <v>35933</v>
      </c>
      <c r="G583" s="7">
        <f t="shared" ca="1" si="36"/>
        <v>27.969444444444445</v>
      </c>
      <c r="H583" s="9" t="s">
        <v>18</v>
      </c>
      <c r="I583" s="9" t="s">
        <v>46</v>
      </c>
      <c r="J583" s="9" t="s">
        <v>21</v>
      </c>
      <c r="K583" s="9" t="s">
        <v>26</v>
      </c>
      <c r="L583" s="10">
        <v>45305</v>
      </c>
      <c r="M583" s="9">
        <f t="shared" ca="1" si="37"/>
        <v>2.3138888888888891</v>
      </c>
      <c r="N583" s="9">
        <v>12107</v>
      </c>
      <c r="O583" s="9" t="str">
        <f t="shared" si="38"/>
        <v>يناير</v>
      </c>
      <c r="P583" s="7" t="str">
        <f t="shared" si="39"/>
        <v>راتب طبيعي</v>
      </c>
    </row>
    <row r="584" spans="1:16" x14ac:dyDescent="0.3">
      <c r="A584" s="7">
        <v>50616</v>
      </c>
      <c r="B584" s="7" t="s">
        <v>1201</v>
      </c>
      <c r="C584" s="7" t="s">
        <v>1202</v>
      </c>
      <c r="D584" s="7" t="s">
        <v>43</v>
      </c>
      <c r="E584" s="7" t="s">
        <v>17</v>
      </c>
      <c r="F584" s="8">
        <v>34418</v>
      </c>
      <c r="G584" s="7">
        <f t="shared" ca="1" si="36"/>
        <v>32.116666666666667</v>
      </c>
      <c r="H584" s="7" t="s">
        <v>18</v>
      </c>
      <c r="I584" s="7" t="s">
        <v>19</v>
      </c>
      <c r="J584" s="7" t="s">
        <v>27</v>
      </c>
      <c r="K584" s="7" t="s">
        <v>27</v>
      </c>
      <c r="L584" s="8">
        <v>45306</v>
      </c>
      <c r="M584" s="7">
        <f t="shared" ca="1" si="37"/>
        <v>2.3111111111111109</v>
      </c>
      <c r="N584" s="7">
        <v>29051</v>
      </c>
      <c r="O584" s="7" t="str">
        <f t="shared" si="38"/>
        <v>يناير</v>
      </c>
      <c r="P584" s="7" t="str">
        <f t="shared" si="39"/>
        <v>راتب طبيعي</v>
      </c>
    </row>
    <row r="585" spans="1:16" x14ac:dyDescent="0.3">
      <c r="A585" s="9">
        <v>53143</v>
      </c>
      <c r="B585" s="9" t="s">
        <v>1203</v>
      </c>
      <c r="C585" s="9" t="s">
        <v>1204</v>
      </c>
      <c r="D585" s="9" t="s">
        <v>40</v>
      </c>
      <c r="E585" s="9" t="s">
        <v>35</v>
      </c>
      <c r="F585" s="10">
        <v>31984</v>
      </c>
      <c r="G585" s="7">
        <f t="shared" ca="1" si="36"/>
        <v>38.780555555555559</v>
      </c>
      <c r="H585" s="9" t="s">
        <v>36</v>
      </c>
      <c r="I585" s="9" t="s">
        <v>25</v>
      </c>
      <c r="J585" s="9" t="s">
        <v>21</v>
      </c>
      <c r="K585" s="9" t="s">
        <v>31</v>
      </c>
      <c r="L585" s="10">
        <v>45307</v>
      </c>
      <c r="M585" s="9">
        <f t="shared" ca="1" si="37"/>
        <v>2.3083333333333331</v>
      </c>
      <c r="N585" s="9">
        <v>4338</v>
      </c>
      <c r="O585" s="9" t="str">
        <f t="shared" si="38"/>
        <v>يناير</v>
      </c>
      <c r="P585" s="7" t="str">
        <f t="shared" si="39"/>
        <v>راتب عالي</v>
      </c>
    </row>
    <row r="586" spans="1:16" x14ac:dyDescent="0.3">
      <c r="A586" s="7">
        <v>59995</v>
      </c>
      <c r="B586" s="7" t="s">
        <v>1205</v>
      </c>
      <c r="C586" s="7" t="s">
        <v>1206</v>
      </c>
      <c r="D586" s="7" t="s">
        <v>146</v>
      </c>
      <c r="E586" s="7" t="s">
        <v>35</v>
      </c>
      <c r="F586" s="8">
        <v>30151</v>
      </c>
      <c r="G586" s="7">
        <f t="shared" ca="1" si="36"/>
        <v>43.8</v>
      </c>
      <c r="H586" s="7" t="s">
        <v>18</v>
      </c>
      <c r="I586" s="7" t="s">
        <v>25</v>
      </c>
      <c r="J586" s="7" t="s">
        <v>27</v>
      </c>
      <c r="K586" s="7" t="s">
        <v>27</v>
      </c>
      <c r="L586" s="8">
        <v>45308</v>
      </c>
      <c r="M586" s="7">
        <f t="shared" ca="1" si="37"/>
        <v>2.3055555555555554</v>
      </c>
      <c r="N586" s="7">
        <v>4674</v>
      </c>
      <c r="O586" s="7" t="str">
        <f t="shared" si="38"/>
        <v>يناير</v>
      </c>
      <c r="P586" s="7" t="str">
        <f t="shared" si="39"/>
        <v>راتب عالي</v>
      </c>
    </row>
    <row r="587" spans="1:16" x14ac:dyDescent="0.3">
      <c r="A587" s="9">
        <v>51698</v>
      </c>
      <c r="B587" s="9" t="s">
        <v>1207</v>
      </c>
      <c r="C587" s="9" t="s">
        <v>1208</v>
      </c>
      <c r="D587" s="9" t="s">
        <v>40</v>
      </c>
      <c r="E587" s="9" t="s">
        <v>17</v>
      </c>
      <c r="F587" s="10">
        <v>30878</v>
      </c>
      <c r="G587" s="7">
        <f t="shared" ca="1" si="36"/>
        <v>41.81111111111111</v>
      </c>
      <c r="H587" s="9" t="s">
        <v>18</v>
      </c>
      <c r="I587" s="9" t="s">
        <v>25</v>
      </c>
      <c r="J587" s="9" t="s">
        <v>27</v>
      </c>
      <c r="K587" s="9" t="s">
        <v>26</v>
      </c>
      <c r="L587" s="10">
        <v>45309</v>
      </c>
      <c r="M587" s="9">
        <f t="shared" ca="1" si="37"/>
        <v>2.3027777777777776</v>
      </c>
      <c r="N587" s="9">
        <v>3551</v>
      </c>
      <c r="O587" s="9" t="str">
        <f t="shared" si="38"/>
        <v>يناير</v>
      </c>
      <c r="P587" s="7" t="str">
        <f t="shared" si="39"/>
        <v>راتب عالي</v>
      </c>
    </row>
    <row r="588" spans="1:16" x14ac:dyDescent="0.3">
      <c r="A588" s="7">
        <v>54955</v>
      </c>
      <c r="B588" s="7" t="s">
        <v>1209</v>
      </c>
      <c r="C588" s="7" t="s">
        <v>1210</v>
      </c>
      <c r="D588" s="7" t="s">
        <v>43</v>
      </c>
      <c r="E588" s="7" t="s">
        <v>17</v>
      </c>
      <c r="F588" s="8">
        <v>30512</v>
      </c>
      <c r="G588" s="7">
        <f t="shared" ca="1" si="36"/>
        <v>42.81111111111111</v>
      </c>
      <c r="H588" s="7" t="s">
        <v>36</v>
      </c>
      <c r="I588" s="7" t="s">
        <v>25</v>
      </c>
      <c r="J588" s="7" t="s">
        <v>26</v>
      </c>
      <c r="K588" s="7" t="s">
        <v>20</v>
      </c>
      <c r="L588" s="8">
        <v>45310</v>
      </c>
      <c r="M588" s="7">
        <f t="shared" ca="1" si="37"/>
        <v>2.2999999999999998</v>
      </c>
      <c r="N588" s="7">
        <v>6382</v>
      </c>
      <c r="O588" s="7" t="str">
        <f t="shared" si="38"/>
        <v>يناير</v>
      </c>
      <c r="P588" s="7" t="str">
        <f t="shared" si="39"/>
        <v>راتب طبيعي</v>
      </c>
    </row>
    <row r="589" spans="1:16" x14ac:dyDescent="0.3">
      <c r="A589" s="9">
        <v>54608</v>
      </c>
      <c r="B589" s="9" t="s">
        <v>1211</v>
      </c>
      <c r="C589" s="9" t="s">
        <v>1212</v>
      </c>
      <c r="D589" s="9" t="s">
        <v>34</v>
      </c>
      <c r="E589" s="9" t="s">
        <v>35</v>
      </c>
      <c r="F589" s="10">
        <v>31362</v>
      </c>
      <c r="G589" s="7">
        <f t="shared" ca="1" si="36"/>
        <v>40.488888888888887</v>
      </c>
      <c r="H589" s="9" t="s">
        <v>18</v>
      </c>
      <c r="I589" s="9" t="s">
        <v>25</v>
      </c>
      <c r="J589" s="9" t="s">
        <v>27</v>
      </c>
      <c r="K589" s="9" t="s">
        <v>31</v>
      </c>
      <c r="L589" s="10">
        <v>45311</v>
      </c>
      <c r="M589" s="9">
        <f t="shared" ca="1" si="37"/>
        <v>2.2972222222222221</v>
      </c>
      <c r="N589" s="9">
        <v>3686</v>
      </c>
      <c r="O589" s="9" t="str">
        <f t="shared" si="38"/>
        <v>يناير</v>
      </c>
      <c r="P589" s="7" t="str">
        <f t="shared" si="39"/>
        <v>راتب عالي</v>
      </c>
    </row>
    <row r="590" spans="1:16" x14ac:dyDescent="0.3">
      <c r="A590" s="7">
        <v>59832</v>
      </c>
      <c r="B590" s="7" t="s">
        <v>1213</v>
      </c>
      <c r="C590" s="7" t="s">
        <v>1214</v>
      </c>
      <c r="D590" s="7" t="s">
        <v>30</v>
      </c>
      <c r="E590" s="7" t="s">
        <v>35</v>
      </c>
      <c r="F590" s="8">
        <v>34630</v>
      </c>
      <c r="G590" s="7">
        <f t="shared" ca="1" si="36"/>
        <v>31.538888888888888</v>
      </c>
      <c r="H590" s="7" t="s">
        <v>18</v>
      </c>
      <c r="I590" s="7" t="s">
        <v>19</v>
      </c>
      <c r="J590" s="7" t="s">
        <v>31</v>
      </c>
      <c r="K590" s="7" t="s">
        <v>27</v>
      </c>
      <c r="L590" s="8">
        <v>45312</v>
      </c>
      <c r="M590" s="7">
        <f t="shared" ca="1" si="37"/>
        <v>2.2944444444444443</v>
      </c>
      <c r="N590" s="7">
        <v>25101</v>
      </c>
      <c r="O590" s="7" t="str">
        <f t="shared" si="38"/>
        <v>يناير</v>
      </c>
      <c r="P590" s="7" t="str">
        <f t="shared" si="39"/>
        <v>راتب طبيعي</v>
      </c>
    </row>
    <row r="591" spans="1:16" x14ac:dyDescent="0.3">
      <c r="A591" s="9">
        <v>56055</v>
      </c>
      <c r="B591" s="9" t="s">
        <v>1215</v>
      </c>
      <c r="C591" s="9" t="s">
        <v>1216</v>
      </c>
      <c r="D591" s="9" t="s">
        <v>43</v>
      </c>
      <c r="E591" s="9" t="s">
        <v>17</v>
      </c>
      <c r="F591" s="10">
        <v>30429</v>
      </c>
      <c r="G591" s="7">
        <f t="shared" ca="1" si="36"/>
        <v>43.038888888888891</v>
      </c>
      <c r="H591" s="9" t="s">
        <v>36</v>
      </c>
      <c r="I591" s="9" t="s">
        <v>25</v>
      </c>
      <c r="J591" s="9" t="s">
        <v>20</v>
      </c>
      <c r="K591" s="9" t="s">
        <v>20</v>
      </c>
      <c r="L591" s="10">
        <v>45313</v>
      </c>
      <c r="M591" s="9">
        <f t="shared" ca="1" si="37"/>
        <v>2.2916666666666665</v>
      </c>
      <c r="N591" s="9">
        <v>3584</v>
      </c>
      <c r="O591" s="9" t="str">
        <f t="shared" si="38"/>
        <v>يناير</v>
      </c>
      <c r="P591" s="7" t="str">
        <f t="shared" si="39"/>
        <v>راتب عالي</v>
      </c>
    </row>
    <row r="592" spans="1:16" x14ac:dyDescent="0.3">
      <c r="A592" s="7">
        <v>56655</v>
      </c>
      <c r="B592" s="7" t="s">
        <v>1217</v>
      </c>
      <c r="C592" s="7" t="s">
        <v>1218</v>
      </c>
      <c r="D592" s="7" t="s">
        <v>30</v>
      </c>
      <c r="E592" s="7" t="s">
        <v>17</v>
      </c>
      <c r="F592" s="8">
        <v>34413</v>
      </c>
      <c r="G592" s="7">
        <f t="shared" ca="1" si="36"/>
        <v>32.130555555555553</v>
      </c>
      <c r="H592" s="7" t="s">
        <v>36</v>
      </c>
      <c r="I592" s="7" t="s">
        <v>25</v>
      </c>
      <c r="J592" s="7" t="s">
        <v>20</v>
      </c>
      <c r="K592" s="7" t="s">
        <v>26</v>
      </c>
      <c r="L592" s="8">
        <v>45314</v>
      </c>
      <c r="M592" s="7">
        <f t="shared" ca="1" si="37"/>
        <v>2.2888888888888888</v>
      </c>
      <c r="N592" s="7">
        <v>6124</v>
      </c>
      <c r="O592" s="7" t="str">
        <f t="shared" si="38"/>
        <v>يناير</v>
      </c>
      <c r="P592" s="7" t="str">
        <f t="shared" si="39"/>
        <v>راتب طبيعي</v>
      </c>
    </row>
    <row r="593" spans="1:16" x14ac:dyDescent="0.3">
      <c r="A593" s="9">
        <v>55546</v>
      </c>
      <c r="B593" s="9" t="s">
        <v>1219</v>
      </c>
      <c r="C593" s="9" t="s">
        <v>1220</v>
      </c>
      <c r="D593" s="9" t="s">
        <v>43</v>
      </c>
      <c r="E593" s="9" t="s">
        <v>35</v>
      </c>
      <c r="F593" s="10">
        <v>32514</v>
      </c>
      <c r="G593" s="7">
        <f t="shared" ca="1" si="36"/>
        <v>37.336111111111109</v>
      </c>
      <c r="H593" s="9" t="s">
        <v>36</v>
      </c>
      <c r="I593" s="9" t="s">
        <v>25</v>
      </c>
      <c r="J593" s="9" t="s">
        <v>21</v>
      </c>
      <c r="K593" s="9" t="s">
        <v>21</v>
      </c>
      <c r="L593" s="10">
        <v>45315</v>
      </c>
      <c r="M593" s="9">
        <f t="shared" ca="1" si="37"/>
        <v>2.286111111111111</v>
      </c>
      <c r="N593" s="9">
        <v>4787</v>
      </c>
      <c r="O593" s="9" t="str">
        <f t="shared" si="38"/>
        <v>يناير</v>
      </c>
      <c r="P593" s="7" t="str">
        <f t="shared" si="39"/>
        <v>راتب عالي</v>
      </c>
    </row>
    <row r="594" spans="1:16" x14ac:dyDescent="0.3">
      <c r="A594" s="7">
        <v>54546</v>
      </c>
      <c r="B594" s="7" t="s">
        <v>1221</v>
      </c>
      <c r="C594" s="7" t="s">
        <v>1222</v>
      </c>
      <c r="D594" s="7" t="s">
        <v>30</v>
      </c>
      <c r="E594" s="7" t="s">
        <v>17</v>
      </c>
      <c r="F594" s="8">
        <v>31895</v>
      </c>
      <c r="G594" s="7">
        <f t="shared" ca="1" si="36"/>
        <v>39.024999999999999</v>
      </c>
      <c r="H594" s="7" t="s">
        <v>18</v>
      </c>
      <c r="I594" s="7" t="s">
        <v>19</v>
      </c>
      <c r="J594" s="7" t="s">
        <v>26</v>
      </c>
      <c r="K594" s="7" t="s">
        <v>20</v>
      </c>
      <c r="L594" s="8">
        <v>45316</v>
      </c>
      <c r="M594" s="7">
        <f t="shared" ca="1" si="37"/>
        <v>2.2833333333333332</v>
      </c>
      <c r="N594" s="7">
        <v>26808</v>
      </c>
      <c r="O594" s="7" t="str">
        <f t="shared" si="38"/>
        <v>يناير</v>
      </c>
      <c r="P594" s="7" t="str">
        <f t="shared" si="39"/>
        <v>راتب طبيعي</v>
      </c>
    </row>
    <row r="595" spans="1:16" x14ac:dyDescent="0.3">
      <c r="A595" s="9">
        <v>50071</v>
      </c>
      <c r="B595" s="9" t="s">
        <v>1223</v>
      </c>
      <c r="C595" s="9" t="s">
        <v>1224</v>
      </c>
      <c r="D595" s="9" t="s">
        <v>43</v>
      </c>
      <c r="E595" s="9" t="s">
        <v>17</v>
      </c>
      <c r="F595" s="10">
        <v>37309</v>
      </c>
      <c r="G595" s="7">
        <f t="shared" ca="1" si="36"/>
        <v>24.208333333333332</v>
      </c>
      <c r="H595" s="9" t="s">
        <v>18</v>
      </c>
      <c r="I595" s="9" t="s">
        <v>25</v>
      </c>
      <c r="J595" s="9" t="s">
        <v>27</v>
      </c>
      <c r="K595" s="9" t="s">
        <v>27</v>
      </c>
      <c r="L595" s="10">
        <v>45317</v>
      </c>
      <c r="M595" s="9">
        <f t="shared" ca="1" si="37"/>
        <v>2.2805555555555554</v>
      </c>
      <c r="N595" s="9">
        <v>6110</v>
      </c>
      <c r="O595" s="9" t="str">
        <f t="shared" si="38"/>
        <v>يناير</v>
      </c>
      <c r="P595" s="7" t="str">
        <f t="shared" si="39"/>
        <v>راتب طبيعي</v>
      </c>
    </row>
    <row r="596" spans="1:16" x14ac:dyDescent="0.3">
      <c r="A596" s="7">
        <v>54445</v>
      </c>
      <c r="B596" s="7" t="s">
        <v>1225</v>
      </c>
      <c r="C596" s="7" t="s">
        <v>1226</v>
      </c>
      <c r="D596" s="7" t="s">
        <v>95</v>
      </c>
      <c r="E596" s="7" t="s">
        <v>17</v>
      </c>
      <c r="F596" s="8">
        <v>31708</v>
      </c>
      <c r="G596" s="7">
        <f t="shared" ca="1" si="36"/>
        <v>39.538888888888891</v>
      </c>
      <c r="H596" s="7" t="s">
        <v>18</v>
      </c>
      <c r="I596" s="7" t="s">
        <v>25</v>
      </c>
      <c r="J596" s="7" t="s">
        <v>31</v>
      </c>
      <c r="K596" s="7" t="s">
        <v>31</v>
      </c>
      <c r="L596" s="8">
        <v>45318</v>
      </c>
      <c r="M596" s="7">
        <f t="shared" ca="1" si="37"/>
        <v>2.2777777777777777</v>
      </c>
      <c r="N596" s="7">
        <v>6954</v>
      </c>
      <c r="O596" s="7" t="str">
        <f t="shared" si="38"/>
        <v>يناير</v>
      </c>
      <c r="P596" s="7" t="str">
        <f t="shared" si="39"/>
        <v>راتب طبيعي</v>
      </c>
    </row>
    <row r="597" spans="1:16" x14ac:dyDescent="0.3">
      <c r="A597" s="9">
        <v>52027</v>
      </c>
      <c r="B597" s="9" t="s">
        <v>1227</v>
      </c>
      <c r="C597" s="9" t="s">
        <v>1228</v>
      </c>
      <c r="D597" s="9" t="s">
        <v>40</v>
      </c>
      <c r="E597" s="9" t="s">
        <v>17</v>
      </c>
      <c r="F597" s="10">
        <v>37107</v>
      </c>
      <c r="G597" s="7">
        <f t="shared" ca="1" si="36"/>
        <v>24.758333333333333</v>
      </c>
      <c r="H597" s="9" t="s">
        <v>36</v>
      </c>
      <c r="I597" s="9" t="s">
        <v>19</v>
      </c>
      <c r="J597" s="9" t="s">
        <v>31</v>
      </c>
      <c r="K597" s="9" t="s">
        <v>27</v>
      </c>
      <c r="L597" s="10">
        <v>45319</v>
      </c>
      <c r="M597" s="9">
        <f t="shared" ca="1" si="37"/>
        <v>2.2749999999999999</v>
      </c>
      <c r="N597" s="9">
        <v>26304</v>
      </c>
      <c r="O597" s="9" t="str">
        <f t="shared" si="38"/>
        <v>يناير</v>
      </c>
      <c r="P597" s="7" t="str">
        <f t="shared" si="39"/>
        <v>راتب طبيعي</v>
      </c>
    </row>
    <row r="598" spans="1:16" x14ac:dyDescent="0.3">
      <c r="A598" s="7">
        <v>56058</v>
      </c>
      <c r="B598" s="7" t="s">
        <v>1229</v>
      </c>
      <c r="C598" s="7" t="s">
        <v>1230</v>
      </c>
      <c r="D598" s="7" t="s">
        <v>43</v>
      </c>
      <c r="E598" s="7" t="s">
        <v>35</v>
      </c>
      <c r="F598" s="8">
        <v>36906</v>
      </c>
      <c r="G598" s="7">
        <f t="shared" ca="1" si="36"/>
        <v>25.31111111111111</v>
      </c>
      <c r="H598" s="7" t="s">
        <v>18</v>
      </c>
      <c r="I598" s="7" t="s">
        <v>25</v>
      </c>
      <c r="J598" s="7" t="s">
        <v>20</v>
      </c>
      <c r="K598" s="7" t="s">
        <v>27</v>
      </c>
      <c r="L598" s="8">
        <v>45320</v>
      </c>
      <c r="M598" s="7">
        <f t="shared" ca="1" si="37"/>
        <v>2.2722222222222221</v>
      </c>
      <c r="N598" s="7">
        <v>3866</v>
      </c>
      <c r="O598" s="7" t="str">
        <f t="shared" si="38"/>
        <v>يناير</v>
      </c>
      <c r="P598" s="7" t="str">
        <f t="shared" si="39"/>
        <v>راتب عالي</v>
      </c>
    </row>
    <row r="599" spans="1:16" x14ac:dyDescent="0.3">
      <c r="A599" s="9">
        <v>53488</v>
      </c>
      <c r="B599" s="9" t="s">
        <v>1231</v>
      </c>
      <c r="C599" s="9" t="s">
        <v>1232</v>
      </c>
      <c r="D599" s="9" t="s">
        <v>53</v>
      </c>
      <c r="E599" s="9" t="s">
        <v>35</v>
      </c>
      <c r="F599" s="10">
        <v>37226</v>
      </c>
      <c r="G599" s="7">
        <f t="shared" ca="1" si="36"/>
        <v>24.433333333333334</v>
      </c>
      <c r="H599" s="9" t="s">
        <v>36</v>
      </c>
      <c r="I599" s="9" t="s">
        <v>46</v>
      </c>
      <c r="J599" s="9" t="s">
        <v>20</v>
      </c>
      <c r="K599" s="9" t="s">
        <v>27</v>
      </c>
      <c r="L599" s="10">
        <v>45321</v>
      </c>
      <c r="M599" s="9">
        <f t="shared" ca="1" si="37"/>
        <v>2.2694444444444444</v>
      </c>
      <c r="N599" s="9">
        <v>13615</v>
      </c>
      <c r="O599" s="9" t="str">
        <f t="shared" si="38"/>
        <v>يناير</v>
      </c>
      <c r="P599" s="7" t="str">
        <f t="shared" si="39"/>
        <v>راتب طبيعي</v>
      </c>
    </row>
    <row r="600" spans="1:16" x14ac:dyDescent="0.3">
      <c r="A600" s="7">
        <v>57363</v>
      </c>
      <c r="B600" s="7" t="s">
        <v>1233</v>
      </c>
      <c r="C600" s="7" t="s">
        <v>1234</v>
      </c>
      <c r="D600" s="7" t="s">
        <v>30</v>
      </c>
      <c r="E600" s="7" t="s">
        <v>17</v>
      </c>
      <c r="F600" s="8">
        <v>34783</v>
      </c>
      <c r="G600" s="7">
        <f t="shared" ca="1" si="36"/>
        <v>31.116666666666667</v>
      </c>
      <c r="H600" s="7" t="s">
        <v>18</v>
      </c>
      <c r="I600" s="7" t="s">
        <v>46</v>
      </c>
      <c r="J600" s="7" t="s">
        <v>26</v>
      </c>
      <c r="K600" s="7" t="s">
        <v>31</v>
      </c>
      <c r="L600" s="8">
        <v>45322</v>
      </c>
      <c r="M600" s="7">
        <f t="shared" ca="1" si="37"/>
        <v>2.2694444444444444</v>
      </c>
      <c r="N600" s="7">
        <v>10057</v>
      </c>
      <c r="O600" s="7" t="str">
        <f t="shared" si="38"/>
        <v>يناير</v>
      </c>
      <c r="P600" s="7" t="str">
        <f t="shared" si="39"/>
        <v>راتب طبيعي</v>
      </c>
    </row>
    <row r="601" spans="1:16" x14ac:dyDescent="0.3">
      <c r="A601" s="9">
        <v>57443</v>
      </c>
      <c r="B601" s="9" t="s">
        <v>1235</v>
      </c>
      <c r="C601" s="9" t="s">
        <v>1236</v>
      </c>
      <c r="D601" s="9" t="s">
        <v>40</v>
      </c>
      <c r="E601" s="9" t="s">
        <v>17</v>
      </c>
      <c r="F601" s="10">
        <v>30341</v>
      </c>
      <c r="G601" s="7">
        <f t="shared" ca="1" si="36"/>
        <v>43.283333333333331</v>
      </c>
      <c r="H601" s="9" t="s">
        <v>18</v>
      </c>
      <c r="I601" s="9" t="s">
        <v>46</v>
      </c>
      <c r="J601" s="9" t="s">
        <v>27</v>
      </c>
      <c r="K601" s="9" t="s">
        <v>26</v>
      </c>
      <c r="L601" s="10">
        <v>45323</v>
      </c>
      <c r="M601" s="9">
        <f t="shared" ca="1" si="37"/>
        <v>2.2666666666666666</v>
      </c>
      <c r="N601" s="9">
        <v>11769</v>
      </c>
      <c r="O601" s="9" t="str">
        <f t="shared" si="38"/>
        <v>فبراير</v>
      </c>
      <c r="P601" s="7" t="str">
        <f t="shared" si="39"/>
        <v>راتب طبيعي</v>
      </c>
    </row>
    <row r="602" spans="1:16" x14ac:dyDescent="0.3">
      <c r="A602" s="7">
        <v>54476</v>
      </c>
      <c r="B602" s="7" t="s">
        <v>1237</v>
      </c>
      <c r="C602" s="7" t="s">
        <v>1238</v>
      </c>
      <c r="D602" s="7" t="s">
        <v>30</v>
      </c>
      <c r="E602" s="7" t="s">
        <v>35</v>
      </c>
      <c r="F602" s="8">
        <v>30363</v>
      </c>
      <c r="G602" s="7">
        <f t="shared" ca="1" si="36"/>
        <v>43.225000000000001</v>
      </c>
      <c r="H602" s="7" t="s">
        <v>18</v>
      </c>
      <c r="I602" s="7" t="s">
        <v>19</v>
      </c>
      <c r="J602" s="7" t="s">
        <v>27</v>
      </c>
      <c r="K602" s="7" t="s">
        <v>21</v>
      </c>
      <c r="L602" s="8">
        <v>45324</v>
      </c>
      <c r="M602" s="7">
        <f t="shared" ca="1" si="37"/>
        <v>2.2638888888888888</v>
      </c>
      <c r="N602" s="7">
        <v>28436</v>
      </c>
      <c r="O602" s="7" t="str">
        <f t="shared" si="38"/>
        <v>فبراير</v>
      </c>
      <c r="P602" s="7" t="str">
        <f t="shared" si="39"/>
        <v>راتب طبيعي</v>
      </c>
    </row>
    <row r="603" spans="1:16" x14ac:dyDescent="0.3">
      <c r="A603" s="9">
        <v>50039</v>
      </c>
      <c r="B603" s="9" t="s">
        <v>1239</v>
      </c>
      <c r="C603" s="9" t="s">
        <v>1240</v>
      </c>
      <c r="D603" s="9" t="s">
        <v>66</v>
      </c>
      <c r="E603" s="9" t="s">
        <v>35</v>
      </c>
      <c r="F603" s="10">
        <v>37419</v>
      </c>
      <c r="G603" s="7">
        <f t="shared" ca="1" si="36"/>
        <v>23.902777777777779</v>
      </c>
      <c r="H603" s="9" t="s">
        <v>18</v>
      </c>
      <c r="I603" s="9" t="s">
        <v>25</v>
      </c>
      <c r="J603" s="9" t="s">
        <v>27</v>
      </c>
      <c r="K603" s="9" t="s">
        <v>26</v>
      </c>
      <c r="L603" s="10">
        <v>45325</v>
      </c>
      <c r="M603" s="9">
        <f t="shared" ca="1" si="37"/>
        <v>2.2611111111111111</v>
      </c>
      <c r="N603" s="9">
        <v>3423</v>
      </c>
      <c r="O603" s="9" t="str">
        <f t="shared" si="38"/>
        <v>فبراير</v>
      </c>
      <c r="P603" s="7" t="str">
        <f t="shared" si="39"/>
        <v>راتب عالي</v>
      </c>
    </row>
    <row r="604" spans="1:16" x14ac:dyDescent="0.3">
      <c r="A604" s="7">
        <v>58312</v>
      </c>
      <c r="B604" s="7" t="s">
        <v>1241</v>
      </c>
      <c r="C604" s="7" t="s">
        <v>1242</v>
      </c>
      <c r="D604" s="7" t="s">
        <v>34</v>
      </c>
      <c r="E604" s="7" t="s">
        <v>35</v>
      </c>
      <c r="F604" s="8">
        <v>37095</v>
      </c>
      <c r="G604" s="7">
        <f t="shared" ca="1" si="36"/>
        <v>24.788888888888888</v>
      </c>
      <c r="H604" s="7" t="s">
        <v>18</v>
      </c>
      <c r="I604" s="7" t="s">
        <v>25</v>
      </c>
      <c r="J604" s="7" t="s">
        <v>31</v>
      </c>
      <c r="K604" s="7" t="s">
        <v>21</v>
      </c>
      <c r="L604" s="8">
        <v>45326</v>
      </c>
      <c r="M604" s="7">
        <f t="shared" ca="1" si="37"/>
        <v>2.2583333333333333</v>
      </c>
      <c r="N604" s="7">
        <v>4962</v>
      </c>
      <c r="O604" s="7" t="str">
        <f t="shared" si="38"/>
        <v>فبراير</v>
      </c>
      <c r="P604" s="7" t="str">
        <f t="shared" si="39"/>
        <v>راتب عالي</v>
      </c>
    </row>
    <row r="605" spans="1:16" x14ac:dyDescent="0.3">
      <c r="A605" s="9">
        <v>58500</v>
      </c>
      <c r="B605" s="9" t="s">
        <v>1243</v>
      </c>
      <c r="C605" s="9" t="s">
        <v>1244</v>
      </c>
      <c r="D605" s="9" t="s">
        <v>43</v>
      </c>
      <c r="E605" s="9" t="s">
        <v>35</v>
      </c>
      <c r="F605" s="10">
        <v>35836</v>
      </c>
      <c r="G605" s="7">
        <f t="shared" ca="1" si="36"/>
        <v>28.241666666666667</v>
      </c>
      <c r="H605" s="9" t="s">
        <v>36</v>
      </c>
      <c r="I605" s="9" t="s">
        <v>25</v>
      </c>
      <c r="J605" s="9" t="s">
        <v>27</v>
      </c>
      <c r="K605" s="9" t="s">
        <v>31</v>
      </c>
      <c r="L605" s="10">
        <v>45327</v>
      </c>
      <c r="M605" s="9">
        <f t="shared" ca="1" si="37"/>
        <v>2.2555555555555555</v>
      </c>
      <c r="N605" s="9">
        <v>3414</v>
      </c>
      <c r="O605" s="9" t="str">
        <f t="shared" si="38"/>
        <v>فبراير</v>
      </c>
      <c r="P605" s="7" t="str">
        <f t="shared" si="39"/>
        <v>راتب عالي</v>
      </c>
    </row>
    <row r="606" spans="1:16" x14ac:dyDescent="0.3">
      <c r="A606" s="7">
        <v>58743</v>
      </c>
      <c r="B606" s="7" t="s">
        <v>1245</v>
      </c>
      <c r="C606" s="7" t="s">
        <v>1246</v>
      </c>
      <c r="D606" s="7" t="s">
        <v>40</v>
      </c>
      <c r="E606" s="7" t="s">
        <v>35</v>
      </c>
      <c r="F606" s="8">
        <v>31749</v>
      </c>
      <c r="G606" s="7">
        <f t="shared" ca="1" si="36"/>
        <v>39.427777777777777</v>
      </c>
      <c r="H606" s="7" t="s">
        <v>36</v>
      </c>
      <c r="I606" s="7" t="s">
        <v>25</v>
      </c>
      <c r="J606" s="7" t="s">
        <v>27</v>
      </c>
      <c r="K606" s="7" t="s">
        <v>21</v>
      </c>
      <c r="L606" s="8">
        <v>45328</v>
      </c>
      <c r="M606" s="7">
        <f t="shared" ca="1" si="37"/>
        <v>2.2527777777777778</v>
      </c>
      <c r="N606" s="7">
        <v>5637</v>
      </c>
      <c r="O606" s="7" t="str">
        <f t="shared" si="38"/>
        <v>فبراير</v>
      </c>
      <c r="P606" s="7" t="str">
        <f t="shared" si="39"/>
        <v>راتب عالي</v>
      </c>
    </row>
    <row r="607" spans="1:16" x14ac:dyDescent="0.3">
      <c r="A607" s="9">
        <v>58659</v>
      </c>
      <c r="B607" s="9" t="s">
        <v>1247</v>
      </c>
      <c r="C607" s="9" t="s">
        <v>1248</v>
      </c>
      <c r="D607" s="9" t="s">
        <v>66</v>
      </c>
      <c r="E607" s="9" t="s">
        <v>17</v>
      </c>
      <c r="F607" s="10">
        <v>31023</v>
      </c>
      <c r="G607" s="7">
        <f t="shared" ca="1" si="36"/>
        <v>41.416666666666664</v>
      </c>
      <c r="H607" s="9" t="s">
        <v>18</v>
      </c>
      <c r="I607" s="9" t="s">
        <v>19</v>
      </c>
      <c r="J607" s="9" t="s">
        <v>27</v>
      </c>
      <c r="K607" s="9" t="s">
        <v>21</v>
      </c>
      <c r="L607" s="10">
        <v>45329</v>
      </c>
      <c r="M607" s="9">
        <f t="shared" ca="1" si="37"/>
        <v>2.25</v>
      </c>
      <c r="N607" s="9">
        <v>21220</v>
      </c>
      <c r="O607" s="9" t="str">
        <f t="shared" si="38"/>
        <v>فبراير</v>
      </c>
      <c r="P607" s="7" t="str">
        <f t="shared" si="39"/>
        <v>راتب طبيعي</v>
      </c>
    </row>
    <row r="608" spans="1:16" x14ac:dyDescent="0.3">
      <c r="A608" s="7">
        <v>57106</v>
      </c>
      <c r="B608" s="7" t="s">
        <v>1249</v>
      </c>
      <c r="C608" s="7" t="s">
        <v>1250</v>
      </c>
      <c r="D608" s="7" t="s">
        <v>40</v>
      </c>
      <c r="E608" s="7" t="s">
        <v>17</v>
      </c>
      <c r="F608" s="8">
        <v>36852</v>
      </c>
      <c r="G608" s="7">
        <f t="shared" ca="1" si="36"/>
        <v>25.458333333333332</v>
      </c>
      <c r="H608" s="7" t="s">
        <v>18</v>
      </c>
      <c r="I608" s="7" t="s">
        <v>25</v>
      </c>
      <c r="J608" s="7" t="s">
        <v>20</v>
      </c>
      <c r="K608" s="7" t="s">
        <v>37</v>
      </c>
      <c r="L608" s="8">
        <v>45330</v>
      </c>
      <c r="M608" s="7">
        <f t="shared" ca="1" si="37"/>
        <v>2.2472222222222222</v>
      </c>
      <c r="N608" s="7">
        <v>6527</v>
      </c>
      <c r="O608" s="7" t="str">
        <f t="shared" si="38"/>
        <v>فبراير</v>
      </c>
      <c r="P608" s="7" t="str">
        <f t="shared" si="39"/>
        <v>راتب طبيعي</v>
      </c>
    </row>
    <row r="609" spans="1:16" x14ac:dyDescent="0.3">
      <c r="A609" s="9">
        <v>52077</v>
      </c>
      <c r="B609" s="9" t="s">
        <v>1251</v>
      </c>
      <c r="C609" s="9" t="s">
        <v>1252</v>
      </c>
      <c r="D609" s="9" t="s">
        <v>40</v>
      </c>
      <c r="E609" s="9" t="s">
        <v>17</v>
      </c>
      <c r="F609" s="10">
        <v>33364</v>
      </c>
      <c r="G609" s="7">
        <f t="shared" ca="1" si="36"/>
        <v>35.00277777777778</v>
      </c>
      <c r="H609" s="9" t="s">
        <v>36</v>
      </c>
      <c r="I609" s="9" t="s">
        <v>25</v>
      </c>
      <c r="J609" s="9" t="s">
        <v>27</v>
      </c>
      <c r="K609" s="9" t="s">
        <v>20</v>
      </c>
      <c r="L609" s="10">
        <v>45331</v>
      </c>
      <c r="M609" s="9">
        <f t="shared" ca="1" si="37"/>
        <v>2.2444444444444445</v>
      </c>
      <c r="N609" s="9">
        <v>6570</v>
      </c>
      <c r="O609" s="9" t="str">
        <f t="shared" si="38"/>
        <v>فبراير</v>
      </c>
      <c r="P609" s="7" t="str">
        <f t="shared" si="39"/>
        <v>راتب طبيعي</v>
      </c>
    </row>
    <row r="610" spans="1:16" x14ac:dyDescent="0.3">
      <c r="A610" s="7">
        <v>51950</v>
      </c>
      <c r="B610" s="7" t="s">
        <v>1253</v>
      </c>
      <c r="C610" s="7" t="s">
        <v>1254</v>
      </c>
      <c r="D610" s="7" t="s">
        <v>66</v>
      </c>
      <c r="E610" s="7" t="s">
        <v>17</v>
      </c>
      <c r="F610" s="8">
        <v>37052</v>
      </c>
      <c r="G610" s="7">
        <f t="shared" ca="1" si="36"/>
        <v>24.908333333333335</v>
      </c>
      <c r="H610" s="7" t="s">
        <v>36</v>
      </c>
      <c r="I610" s="7" t="s">
        <v>25</v>
      </c>
      <c r="J610" s="7" t="s">
        <v>20</v>
      </c>
      <c r="K610" s="7" t="s">
        <v>21</v>
      </c>
      <c r="L610" s="8">
        <v>45332</v>
      </c>
      <c r="M610" s="7">
        <f t="shared" ca="1" si="37"/>
        <v>2.2416666666666667</v>
      </c>
      <c r="N610" s="7">
        <v>6677</v>
      </c>
      <c r="O610" s="7" t="str">
        <f t="shared" si="38"/>
        <v>فبراير</v>
      </c>
      <c r="P610" s="7" t="str">
        <f t="shared" si="39"/>
        <v>راتب طبيعي</v>
      </c>
    </row>
    <row r="611" spans="1:16" x14ac:dyDescent="0.3">
      <c r="A611" s="9">
        <v>53238</v>
      </c>
      <c r="B611" s="9" t="s">
        <v>1255</v>
      </c>
      <c r="C611" s="9" t="s">
        <v>1256</v>
      </c>
      <c r="D611" s="9" t="s">
        <v>66</v>
      </c>
      <c r="E611" s="9" t="s">
        <v>17</v>
      </c>
      <c r="F611" s="10">
        <v>34069</v>
      </c>
      <c r="G611" s="7">
        <f t="shared" ca="1" si="36"/>
        <v>33.075000000000003</v>
      </c>
      <c r="H611" s="9" t="s">
        <v>36</v>
      </c>
      <c r="I611" s="9" t="s">
        <v>46</v>
      </c>
      <c r="J611" s="9" t="s">
        <v>31</v>
      </c>
      <c r="K611" s="9" t="s">
        <v>26</v>
      </c>
      <c r="L611" s="10">
        <v>45333</v>
      </c>
      <c r="M611" s="9">
        <f t="shared" ca="1" si="37"/>
        <v>2.2388888888888889</v>
      </c>
      <c r="N611" s="9">
        <v>13083</v>
      </c>
      <c r="O611" s="9" t="str">
        <f t="shared" si="38"/>
        <v>فبراير</v>
      </c>
      <c r="P611" s="7" t="str">
        <f t="shared" si="39"/>
        <v>راتب طبيعي</v>
      </c>
    </row>
    <row r="612" spans="1:16" x14ac:dyDescent="0.3">
      <c r="A612" s="7">
        <v>55605</v>
      </c>
      <c r="B612" s="7" t="s">
        <v>1257</v>
      </c>
      <c r="C612" s="7" t="s">
        <v>1258</v>
      </c>
      <c r="D612" s="7" t="s">
        <v>43</v>
      </c>
      <c r="E612" s="7" t="s">
        <v>17</v>
      </c>
      <c r="F612" s="8">
        <v>33837</v>
      </c>
      <c r="G612" s="7">
        <f t="shared" ca="1" si="36"/>
        <v>33.711111111111109</v>
      </c>
      <c r="H612" s="7" t="s">
        <v>18</v>
      </c>
      <c r="I612" s="7" t="s">
        <v>25</v>
      </c>
      <c r="J612" s="7" t="s">
        <v>31</v>
      </c>
      <c r="K612" s="7" t="s">
        <v>26</v>
      </c>
      <c r="L612" s="8">
        <v>45334</v>
      </c>
      <c r="M612" s="7">
        <f t="shared" ca="1" si="37"/>
        <v>2.2361111111111112</v>
      </c>
      <c r="N612" s="7">
        <v>6864</v>
      </c>
      <c r="O612" s="7" t="str">
        <f t="shared" si="38"/>
        <v>فبراير</v>
      </c>
      <c r="P612" s="7" t="str">
        <f t="shared" si="39"/>
        <v>راتب طبيعي</v>
      </c>
    </row>
    <row r="613" spans="1:16" x14ac:dyDescent="0.3">
      <c r="A613" s="9">
        <v>53324</v>
      </c>
      <c r="B613" s="9" t="s">
        <v>1259</v>
      </c>
      <c r="C613" s="9" t="s">
        <v>1260</v>
      </c>
      <c r="D613" s="9" t="s">
        <v>53</v>
      </c>
      <c r="E613" s="9" t="s">
        <v>17</v>
      </c>
      <c r="F613" s="10">
        <v>31194</v>
      </c>
      <c r="G613" s="7">
        <f t="shared" ca="1" si="36"/>
        <v>40.944444444444443</v>
      </c>
      <c r="H613" s="9" t="s">
        <v>18</v>
      </c>
      <c r="I613" s="9" t="s">
        <v>19</v>
      </c>
      <c r="J613" s="9" t="s">
        <v>26</v>
      </c>
      <c r="K613" s="9" t="s">
        <v>21</v>
      </c>
      <c r="L613" s="10">
        <v>45335</v>
      </c>
      <c r="M613" s="9">
        <f t="shared" ca="1" si="37"/>
        <v>2.2333333333333334</v>
      </c>
      <c r="N613" s="9">
        <v>26046</v>
      </c>
      <c r="O613" s="9" t="str">
        <f t="shared" si="38"/>
        <v>فبراير</v>
      </c>
      <c r="P613" s="7" t="str">
        <f t="shared" si="39"/>
        <v>راتب طبيعي</v>
      </c>
    </row>
    <row r="614" spans="1:16" x14ac:dyDescent="0.3">
      <c r="A614" s="7">
        <v>54025</v>
      </c>
      <c r="B614" s="7" t="s">
        <v>1261</v>
      </c>
      <c r="C614" s="7" t="s">
        <v>1262</v>
      </c>
      <c r="D614" s="7" t="s">
        <v>95</v>
      </c>
      <c r="E614" s="7" t="s">
        <v>17</v>
      </c>
      <c r="F614" s="8">
        <v>36135</v>
      </c>
      <c r="G614" s="7">
        <f t="shared" ca="1" si="36"/>
        <v>27.419444444444444</v>
      </c>
      <c r="H614" s="7" t="s">
        <v>18</v>
      </c>
      <c r="I614" s="7" t="s">
        <v>19</v>
      </c>
      <c r="J614" s="7" t="s">
        <v>26</v>
      </c>
      <c r="K614" s="7" t="s">
        <v>21</v>
      </c>
      <c r="L614" s="8">
        <v>45336</v>
      </c>
      <c r="M614" s="7">
        <f t="shared" ca="1" si="37"/>
        <v>2.2305555555555556</v>
      </c>
      <c r="N614" s="7">
        <v>20504</v>
      </c>
      <c r="O614" s="7" t="str">
        <f t="shared" si="38"/>
        <v>فبراير</v>
      </c>
      <c r="P614" s="7" t="str">
        <f t="shared" si="39"/>
        <v>راتب طبيعي</v>
      </c>
    </row>
    <row r="615" spans="1:16" x14ac:dyDescent="0.3">
      <c r="A615" s="9">
        <v>58742</v>
      </c>
      <c r="B615" s="9" t="s">
        <v>1263</v>
      </c>
      <c r="C615" s="9" t="s">
        <v>1264</v>
      </c>
      <c r="D615" s="9" t="s">
        <v>16</v>
      </c>
      <c r="E615" s="9" t="s">
        <v>17</v>
      </c>
      <c r="F615" s="10">
        <v>36506</v>
      </c>
      <c r="G615" s="7">
        <f t="shared" ca="1" si="36"/>
        <v>26.402777777777779</v>
      </c>
      <c r="H615" s="9" t="s">
        <v>18</v>
      </c>
      <c r="I615" s="9" t="s">
        <v>25</v>
      </c>
      <c r="J615" s="9" t="s">
        <v>31</v>
      </c>
      <c r="K615" s="9" t="s">
        <v>37</v>
      </c>
      <c r="L615" s="10">
        <v>45337</v>
      </c>
      <c r="M615" s="9">
        <f t="shared" ca="1" si="37"/>
        <v>2.2277777777777779</v>
      </c>
      <c r="N615" s="9">
        <v>5135</v>
      </c>
      <c r="O615" s="9" t="str">
        <f t="shared" si="38"/>
        <v>فبراير</v>
      </c>
      <c r="P615" s="7" t="str">
        <f t="shared" si="39"/>
        <v>راتب عالي</v>
      </c>
    </row>
    <row r="616" spans="1:16" x14ac:dyDescent="0.3">
      <c r="A616" s="7">
        <v>59086</v>
      </c>
      <c r="B616" s="7" t="s">
        <v>1265</v>
      </c>
      <c r="C616" s="7" t="s">
        <v>1266</v>
      </c>
      <c r="D616" s="7" t="s">
        <v>43</v>
      </c>
      <c r="E616" s="7" t="s">
        <v>35</v>
      </c>
      <c r="F616" s="8">
        <v>30537</v>
      </c>
      <c r="G616" s="7">
        <f t="shared" ca="1" si="36"/>
        <v>42.744444444444447</v>
      </c>
      <c r="H616" s="7" t="s">
        <v>36</v>
      </c>
      <c r="I616" s="7" t="s">
        <v>46</v>
      </c>
      <c r="J616" s="7" t="s">
        <v>31</v>
      </c>
      <c r="K616" s="7" t="s">
        <v>37</v>
      </c>
      <c r="L616" s="8">
        <v>45338</v>
      </c>
      <c r="M616" s="7">
        <f t="shared" ca="1" si="37"/>
        <v>2.2250000000000001</v>
      </c>
      <c r="N616" s="7">
        <v>12671</v>
      </c>
      <c r="O616" s="7" t="str">
        <f t="shared" si="38"/>
        <v>فبراير</v>
      </c>
      <c r="P616" s="7" t="str">
        <f t="shared" si="39"/>
        <v>راتب طبيعي</v>
      </c>
    </row>
    <row r="617" spans="1:16" x14ac:dyDescent="0.3">
      <c r="A617" s="9">
        <v>53744</v>
      </c>
      <c r="B617" s="9" t="s">
        <v>1267</v>
      </c>
      <c r="C617" s="9" t="s">
        <v>1268</v>
      </c>
      <c r="D617" s="9" t="s">
        <v>146</v>
      </c>
      <c r="E617" s="9" t="s">
        <v>35</v>
      </c>
      <c r="F617" s="10">
        <v>30414</v>
      </c>
      <c r="G617" s="7">
        <f t="shared" ca="1" si="36"/>
        <v>43.080555555555556</v>
      </c>
      <c r="H617" s="9" t="s">
        <v>18</v>
      </c>
      <c r="I617" s="9" t="s">
        <v>25</v>
      </c>
      <c r="J617" s="9" t="s">
        <v>26</v>
      </c>
      <c r="K617" s="9" t="s">
        <v>27</v>
      </c>
      <c r="L617" s="10">
        <v>45339</v>
      </c>
      <c r="M617" s="9">
        <f t="shared" ca="1" si="37"/>
        <v>2.2222222222222223</v>
      </c>
      <c r="N617" s="9">
        <v>5917</v>
      </c>
      <c r="O617" s="9" t="str">
        <f t="shared" si="38"/>
        <v>فبراير</v>
      </c>
      <c r="P617" s="7" t="str">
        <f t="shared" si="39"/>
        <v>راتب عالي</v>
      </c>
    </row>
    <row r="618" spans="1:16" x14ac:dyDescent="0.3">
      <c r="A618" s="7">
        <v>57163</v>
      </c>
      <c r="B618" s="7" t="s">
        <v>1269</v>
      </c>
      <c r="C618" s="7" t="s">
        <v>1270</v>
      </c>
      <c r="D618" s="7" t="s">
        <v>40</v>
      </c>
      <c r="E618" s="7" t="s">
        <v>35</v>
      </c>
      <c r="F618" s="8">
        <v>36776</v>
      </c>
      <c r="G618" s="7">
        <f t="shared" ca="1" si="36"/>
        <v>25.666666666666668</v>
      </c>
      <c r="H618" s="7" t="s">
        <v>36</v>
      </c>
      <c r="I618" s="7" t="s">
        <v>46</v>
      </c>
      <c r="J618" s="7" t="s">
        <v>31</v>
      </c>
      <c r="K618" s="7" t="s">
        <v>27</v>
      </c>
      <c r="L618" s="8">
        <v>45340</v>
      </c>
      <c r="M618" s="7">
        <f t="shared" ca="1" si="37"/>
        <v>2.2194444444444446</v>
      </c>
      <c r="N618" s="7">
        <v>12589</v>
      </c>
      <c r="O618" s="7" t="str">
        <f t="shared" si="38"/>
        <v>فبراير</v>
      </c>
      <c r="P618" s="7" t="str">
        <f t="shared" si="39"/>
        <v>راتب طبيعي</v>
      </c>
    </row>
    <row r="619" spans="1:16" x14ac:dyDescent="0.3">
      <c r="A619" s="9">
        <v>55585</v>
      </c>
      <c r="B619" s="9" t="s">
        <v>1271</v>
      </c>
      <c r="C619" s="9" t="s">
        <v>1272</v>
      </c>
      <c r="D619" s="9" t="s">
        <v>40</v>
      </c>
      <c r="E619" s="9" t="s">
        <v>17</v>
      </c>
      <c r="F619" s="10">
        <v>30471</v>
      </c>
      <c r="G619" s="7">
        <f t="shared" ca="1" si="36"/>
        <v>42.924999999999997</v>
      </c>
      <c r="H619" s="9" t="s">
        <v>18</v>
      </c>
      <c r="I619" s="9" t="s">
        <v>25</v>
      </c>
      <c r="J619" s="9" t="s">
        <v>26</v>
      </c>
      <c r="K619" s="9" t="s">
        <v>21</v>
      </c>
      <c r="L619" s="10">
        <v>45341</v>
      </c>
      <c r="M619" s="9">
        <f t="shared" ca="1" si="37"/>
        <v>2.2166666666666668</v>
      </c>
      <c r="N619" s="9">
        <v>5475</v>
      </c>
      <c r="O619" s="9" t="str">
        <f t="shared" si="38"/>
        <v>فبراير</v>
      </c>
      <c r="P619" s="7" t="str">
        <f t="shared" si="39"/>
        <v>راتب عالي</v>
      </c>
    </row>
    <row r="620" spans="1:16" x14ac:dyDescent="0.3">
      <c r="A620" s="7">
        <v>53476</v>
      </c>
      <c r="B620" s="7" t="s">
        <v>1273</v>
      </c>
      <c r="C620" s="7" t="s">
        <v>1274</v>
      </c>
      <c r="D620" s="7" t="s">
        <v>40</v>
      </c>
      <c r="E620" s="7" t="s">
        <v>17</v>
      </c>
      <c r="F620" s="8">
        <v>33374</v>
      </c>
      <c r="G620" s="7">
        <f t="shared" ca="1" si="36"/>
        <v>34.975000000000001</v>
      </c>
      <c r="H620" s="7" t="s">
        <v>18</v>
      </c>
      <c r="I620" s="7" t="s">
        <v>19</v>
      </c>
      <c r="J620" s="7" t="s">
        <v>26</v>
      </c>
      <c r="K620" s="7" t="s">
        <v>20</v>
      </c>
      <c r="L620" s="8">
        <v>45342</v>
      </c>
      <c r="M620" s="7">
        <f t="shared" ca="1" si="37"/>
        <v>2.213888888888889</v>
      </c>
      <c r="N620" s="7">
        <v>22740</v>
      </c>
      <c r="O620" s="7" t="str">
        <f t="shared" si="38"/>
        <v>فبراير</v>
      </c>
      <c r="P620" s="7" t="str">
        <f t="shared" si="39"/>
        <v>راتب طبيعي</v>
      </c>
    </row>
    <row r="621" spans="1:16" x14ac:dyDescent="0.3">
      <c r="A621" s="9">
        <v>52358</v>
      </c>
      <c r="B621" s="9" t="s">
        <v>1275</v>
      </c>
      <c r="C621" s="9" t="s">
        <v>1276</v>
      </c>
      <c r="D621" s="9" t="s">
        <v>66</v>
      </c>
      <c r="E621" s="9" t="s">
        <v>35</v>
      </c>
      <c r="F621" s="10">
        <v>32383</v>
      </c>
      <c r="G621" s="7">
        <f t="shared" ca="1" si="36"/>
        <v>37.69166666666667</v>
      </c>
      <c r="H621" s="9" t="s">
        <v>36</v>
      </c>
      <c r="I621" s="9" t="s">
        <v>25</v>
      </c>
      <c r="J621" s="9" t="s">
        <v>31</v>
      </c>
      <c r="K621" s="9" t="s">
        <v>37</v>
      </c>
      <c r="L621" s="10">
        <v>45343</v>
      </c>
      <c r="M621" s="9">
        <f t="shared" ca="1" si="37"/>
        <v>2.2111111111111112</v>
      </c>
      <c r="N621" s="9">
        <v>6598</v>
      </c>
      <c r="O621" s="9" t="str">
        <f t="shared" si="38"/>
        <v>فبراير</v>
      </c>
      <c r="P621" s="7" t="str">
        <f t="shared" si="39"/>
        <v>راتب طبيعي</v>
      </c>
    </row>
    <row r="622" spans="1:16" x14ac:dyDescent="0.3">
      <c r="A622" s="7">
        <v>53396</v>
      </c>
      <c r="B622" s="7" t="s">
        <v>1277</v>
      </c>
      <c r="C622" s="7" t="s">
        <v>1278</v>
      </c>
      <c r="D622" s="7" t="s">
        <v>146</v>
      </c>
      <c r="E622" s="7" t="s">
        <v>17</v>
      </c>
      <c r="F622" s="8">
        <v>34719</v>
      </c>
      <c r="G622" s="7">
        <f t="shared" ca="1" si="36"/>
        <v>31.297222222222221</v>
      </c>
      <c r="H622" s="7" t="s">
        <v>36</v>
      </c>
      <c r="I622" s="7" t="s">
        <v>25</v>
      </c>
      <c r="J622" s="7" t="s">
        <v>31</v>
      </c>
      <c r="K622" s="7" t="s">
        <v>21</v>
      </c>
      <c r="L622" s="8">
        <v>45344</v>
      </c>
      <c r="M622" s="7">
        <f t="shared" ca="1" si="37"/>
        <v>2.2083333333333335</v>
      </c>
      <c r="N622" s="7">
        <v>3182</v>
      </c>
      <c r="O622" s="7" t="str">
        <f t="shared" si="38"/>
        <v>فبراير</v>
      </c>
      <c r="P622" s="7" t="str">
        <f t="shared" si="39"/>
        <v>راتب عالي</v>
      </c>
    </row>
    <row r="623" spans="1:16" x14ac:dyDescent="0.3">
      <c r="A623" s="9">
        <v>54672</v>
      </c>
      <c r="B623" s="9" t="s">
        <v>1279</v>
      </c>
      <c r="C623" s="9" t="s">
        <v>1280</v>
      </c>
      <c r="D623" s="9" t="s">
        <v>40</v>
      </c>
      <c r="E623" s="9" t="s">
        <v>17</v>
      </c>
      <c r="F623" s="10">
        <v>35436</v>
      </c>
      <c r="G623" s="7">
        <f t="shared" ca="1" si="36"/>
        <v>29.336111111111112</v>
      </c>
      <c r="H623" s="9" t="s">
        <v>36</v>
      </c>
      <c r="I623" s="9" t="s">
        <v>19</v>
      </c>
      <c r="J623" s="9" t="s">
        <v>21</v>
      </c>
      <c r="K623" s="9" t="s">
        <v>27</v>
      </c>
      <c r="L623" s="10">
        <v>45345</v>
      </c>
      <c r="M623" s="9">
        <f t="shared" ca="1" si="37"/>
        <v>2.2055555555555557</v>
      </c>
      <c r="N623" s="9">
        <v>25103</v>
      </c>
      <c r="O623" s="9" t="str">
        <f t="shared" si="38"/>
        <v>فبراير</v>
      </c>
      <c r="P623" s="7" t="str">
        <f t="shared" si="39"/>
        <v>راتب طبيعي</v>
      </c>
    </row>
    <row r="624" spans="1:16" x14ac:dyDescent="0.3">
      <c r="A624" s="7">
        <v>58566</v>
      </c>
      <c r="B624" s="7" t="s">
        <v>1281</v>
      </c>
      <c r="C624" s="7" t="s">
        <v>1282</v>
      </c>
      <c r="D624" s="7" t="s">
        <v>40</v>
      </c>
      <c r="E624" s="7" t="s">
        <v>17</v>
      </c>
      <c r="F624" s="8">
        <v>35288</v>
      </c>
      <c r="G624" s="7">
        <f t="shared" ca="1" si="36"/>
        <v>29.738888888888887</v>
      </c>
      <c r="H624" s="7" t="s">
        <v>36</v>
      </c>
      <c r="I624" s="7" t="s">
        <v>25</v>
      </c>
      <c r="J624" s="7" t="s">
        <v>27</v>
      </c>
      <c r="K624" s="7" t="s">
        <v>27</v>
      </c>
      <c r="L624" s="8">
        <v>45346</v>
      </c>
      <c r="M624" s="7">
        <f t="shared" ca="1" si="37"/>
        <v>2.2027777777777779</v>
      </c>
      <c r="N624" s="7">
        <v>5049</v>
      </c>
      <c r="O624" s="7" t="str">
        <f t="shared" si="38"/>
        <v>فبراير</v>
      </c>
      <c r="P624" s="7" t="str">
        <f t="shared" si="39"/>
        <v>راتب عالي</v>
      </c>
    </row>
    <row r="625" spans="1:16" x14ac:dyDescent="0.3">
      <c r="A625" s="9">
        <v>56215</v>
      </c>
      <c r="B625" s="9" t="s">
        <v>1283</v>
      </c>
      <c r="C625" s="9" t="s">
        <v>1284</v>
      </c>
      <c r="D625" s="9" t="s">
        <v>146</v>
      </c>
      <c r="E625" s="9" t="s">
        <v>17</v>
      </c>
      <c r="F625" s="10">
        <v>33607</v>
      </c>
      <c r="G625" s="7">
        <f t="shared" ca="1" si="36"/>
        <v>34.341666666666669</v>
      </c>
      <c r="H625" s="9" t="s">
        <v>36</v>
      </c>
      <c r="I625" s="9" t="s">
        <v>25</v>
      </c>
      <c r="J625" s="9" t="s">
        <v>31</v>
      </c>
      <c r="K625" s="9" t="s">
        <v>20</v>
      </c>
      <c r="L625" s="10">
        <v>45347</v>
      </c>
      <c r="M625" s="9">
        <f t="shared" ca="1" si="37"/>
        <v>2.2000000000000002</v>
      </c>
      <c r="N625" s="9">
        <v>3801</v>
      </c>
      <c r="O625" s="9" t="str">
        <f t="shared" si="38"/>
        <v>فبراير</v>
      </c>
      <c r="P625" s="7" t="str">
        <f t="shared" si="39"/>
        <v>راتب عالي</v>
      </c>
    </row>
    <row r="626" spans="1:16" x14ac:dyDescent="0.3">
      <c r="A626" s="7">
        <v>55136</v>
      </c>
      <c r="B626" s="7" t="s">
        <v>1285</v>
      </c>
      <c r="C626" s="7" t="s">
        <v>1286</v>
      </c>
      <c r="D626" s="7" t="s">
        <v>43</v>
      </c>
      <c r="E626" s="7" t="s">
        <v>35</v>
      </c>
      <c r="F626" s="8">
        <v>33212</v>
      </c>
      <c r="G626" s="7">
        <f t="shared" ca="1" si="36"/>
        <v>35.422222222222224</v>
      </c>
      <c r="H626" s="7" t="s">
        <v>18</v>
      </c>
      <c r="I626" s="7" t="s">
        <v>25</v>
      </c>
      <c r="J626" s="7" t="s">
        <v>31</v>
      </c>
      <c r="K626" s="7" t="s">
        <v>26</v>
      </c>
      <c r="L626" s="8">
        <v>45348</v>
      </c>
      <c r="M626" s="7">
        <f t="shared" ca="1" si="37"/>
        <v>2.1972222222222224</v>
      </c>
      <c r="N626" s="7">
        <v>6846</v>
      </c>
      <c r="O626" s="7" t="str">
        <f t="shared" si="38"/>
        <v>فبراير</v>
      </c>
      <c r="P626" s="7" t="str">
        <f t="shared" si="39"/>
        <v>راتب طبيعي</v>
      </c>
    </row>
    <row r="627" spans="1:16" x14ac:dyDescent="0.3">
      <c r="A627" s="9">
        <v>53242</v>
      </c>
      <c r="B627" s="9" t="s">
        <v>1287</v>
      </c>
      <c r="C627" s="9" t="s">
        <v>1288</v>
      </c>
      <c r="D627" s="9" t="s">
        <v>146</v>
      </c>
      <c r="E627" s="9" t="s">
        <v>17</v>
      </c>
      <c r="F627" s="10">
        <v>33948</v>
      </c>
      <c r="G627" s="7">
        <f t="shared" ca="1" si="36"/>
        <v>33.408333333333331</v>
      </c>
      <c r="H627" s="9" t="s">
        <v>18</v>
      </c>
      <c r="I627" s="9" t="s">
        <v>19</v>
      </c>
      <c r="J627" s="9" t="s">
        <v>26</v>
      </c>
      <c r="K627" s="9" t="s">
        <v>31</v>
      </c>
      <c r="L627" s="10">
        <v>45349</v>
      </c>
      <c r="M627" s="9">
        <f t="shared" ca="1" si="37"/>
        <v>2.1944444444444446</v>
      </c>
      <c r="N627" s="9">
        <v>18521</v>
      </c>
      <c r="O627" s="9" t="str">
        <f t="shared" si="38"/>
        <v>فبراير</v>
      </c>
      <c r="P627" s="7" t="str">
        <f t="shared" si="39"/>
        <v>راتب طبيعي</v>
      </c>
    </row>
    <row r="628" spans="1:16" x14ac:dyDescent="0.3">
      <c r="A628" s="7">
        <v>53031</v>
      </c>
      <c r="B628" s="7" t="s">
        <v>1289</v>
      </c>
      <c r="C628" s="7" t="s">
        <v>1290</v>
      </c>
      <c r="D628" s="7" t="s">
        <v>66</v>
      </c>
      <c r="E628" s="7" t="s">
        <v>35</v>
      </c>
      <c r="F628" s="8">
        <v>30518</v>
      </c>
      <c r="G628" s="7">
        <f t="shared" ca="1" si="36"/>
        <v>42.794444444444444</v>
      </c>
      <c r="H628" s="7" t="s">
        <v>36</v>
      </c>
      <c r="I628" s="7" t="s">
        <v>46</v>
      </c>
      <c r="J628" s="7" t="s">
        <v>31</v>
      </c>
      <c r="K628" s="7" t="s">
        <v>26</v>
      </c>
      <c r="L628" s="8">
        <v>45350</v>
      </c>
      <c r="M628" s="7">
        <f t="shared" ca="1" si="37"/>
        <v>2.1916666666666669</v>
      </c>
      <c r="N628" s="7">
        <v>11656</v>
      </c>
      <c r="O628" s="7" t="str">
        <f t="shared" si="38"/>
        <v>فبراير</v>
      </c>
      <c r="P628" s="7" t="str">
        <f t="shared" si="39"/>
        <v>راتب طبيعي</v>
      </c>
    </row>
    <row r="629" spans="1:16" x14ac:dyDescent="0.3">
      <c r="A629" s="9">
        <v>57330</v>
      </c>
      <c r="B629" s="9" t="s">
        <v>1291</v>
      </c>
      <c r="C629" s="9" t="s">
        <v>1292</v>
      </c>
      <c r="D629" s="9" t="s">
        <v>53</v>
      </c>
      <c r="E629" s="9" t="s">
        <v>17</v>
      </c>
      <c r="F629" s="10">
        <v>37279</v>
      </c>
      <c r="G629" s="7">
        <f t="shared" ca="1" si="36"/>
        <v>24.288888888888888</v>
      </c>
      <c r="H629" s="9" t="s">
        <v>18</v>
      </c>
      <c r="I629" s="9" t="s">
        <v>25</v>
      </c>
      <c r="J629" s="9" t="s">
        <v>26</v>
      </c>
      <c r="K629" s="9" t="s">
        <v>21</v>
      </c>
      <c r="L629" s="10">
        <v>45351</v>
      </c>
      <c r="M629" s="9">
        <f t="shared" ca="1" si="37"/>
        <v>2.1861111111111109</v>
      </c>
      <c r="N629" s="9">
        <v>5499</v>
      </c>
      <c r="O629" s="9" t="str">
        <f t="shared" si="38"/>
        <v>فبراير</v>
      </c>
      <c r="P629" s="7" t="str">
        <f t="shared" si="39"/>
        <v>راتب عالي</v>
      </c>
    </row>
    <row r="630" spans="1:16" x14ac:dyDescent="0.3">
      <c r="A630" s="7">
        <v>51094</v>
      </c>
      <c r="B630" s="7" t="s">
        <v>1293</v>
      </c>
      <c r="C630" s="7" t="s">
        <v>1294</v>
      </c>
      <c r="D630" s="7" t="s">
        <v>95</v>
      </c>
      <c r="E630" s="7" t="s">
        <v>17</v>
      </c>
      <c r="F630" s="8">
        <v>31119</v>
      </c>
      <c r="G630" s="7">
        <f t="shared" ca="1" si="36"/>
        <v>41.15</v>
      </c>
      <c r="H630" s="7" t="s">
        <v>36</v>
      </c>
      <c r="I630" s="7" t="s">
        <v>25</v>
      </c>
      <c r="J630" s="7" t="s">
        <v>21</v>
      </c>
      <c r="K630" s="7" t="s">
        <v>26</v>
      </c>
      <c r="L630" s="8">
        <v>45352</v>
      </c>
      <c r="M630" s="7">
        <f t="shared" ca="1" si="37"/>
        <v>2.1833333333333331</v>
      </c>
      <c r="N630" s="7">
        <v>6779</v>
      </c>
      <c r="O630" s="7" t="str">
        <f t="shared" si="38"/>
        <v>مارس</v>
      </c>
      <c r="P630" s="7" t="str">
        <f t="shared" si="39"/>
        <v>راتب طبيعي</v>
      </c>
    </row>
    <row r="631" spans="1:16" x14ac:dyDescent="0.3">
      <c r="A631" s="9">
        <v>55195</v>
      </c>
      <c r="B631" s="9" t="s">
        <v>1295</v>
      </c>
      <c r="C631" s="9" t="s">
        <v>1296</v>
      </c>
      <c r="D631" s="9" t="s">
        <v>146</v>
      </c>
      <c r="E631" s="9" t="s">
        <v>17</v>
      </c>
      <c r="F631" s="10">
        <v>34386</v>
      </c>
      <c r="G631" s="7">
        <f t="shared" ca="1" si="36"/>
        <v>32.211111111111109</v>
      </c>
      <c r="H631" s="9" t="s">
        <v>36</v>
      </c>
      <c r="I631" s="9" t="s">
        <v>25</v>
      </c>
      <c r="J631" s="9" t="s">
        <v>31</v>
      </c>
      <c r="K631" s="9" t="s">
        <v>27</v>
      </c>
      <c r="L631" s="10">
        <v>45353</v>
      </c>
      <c r="M631" s="9">
        <f t="shared" ca="1" si="37"/>
        <v>2.1805555555555554</v>
      </c>
      <c r="N631" s="9">
        <v>3943</v>
      </c>
      <c r="O631" s="9" t="str">
        <f t="shared" si="38"/>
        <v>مارس</v>
      </c>
      <c r="P631" s="7" t="str">
        <f t="shared" si="39"/>
        <v>راتب عالي</v>
      </c>
    </row>
    <row r="632" spans="1:16" x14ac:dyDescent="0.3">
      <c r="A632" s="7">
        <v>51216</v>
      </c>
      <c r="B632" s="7" t="s">
        <v>1297</v>
      </c>
      <c r="C632" s="7" t="s">
        <v>1298</v>
      </c>
      <c r="D632" s="7" t="s">
        <v>16</v>
      </c>
      <c r="E632" s="7" t="s">
        <v>17</v>
      </c>
      <c r="F632" s="8">
        <v>35161</v>
      </c>
      <c r="G632" s="7">
        <f t="shared" ca="1" si="36"/>
        <v>30.086111111111112</v>
      </c>
      <c r="H632" s="7" t="s">
        <v>36</v>
      </c>
      <c r="I632" s="7" t="s">
        <v>25</v>
      </c>
      <c r="J632" s="7" t="s">
        <v>27</v>
      </c>
      <c r="K632" s="7" t="s">
        <v>21</v>
      </c>
      <c r="L632" s="8">
        <v>45354</v>
      </c>
      <c r="M632" s="7">
        <f t="shared" ca="1" si="37"/>
        <v>2.1777777777777776</v>
      </c>
      <c r="N632" s="7">
        <v>5826</v>
      </c>
      <c r="O632" s="7" t="str">
        <f t="shared" si="38"/>
        <v>مارس</v>
      </c>
      <c r="P632" s="7" t="str">
        <f t="shared" si="39"/>
        <v>راتب عالي</v>
      </c>
    </row>
    <row r="633" spans="1:16" x14ac:dyDescent="0.3">
      <c r="A633" s="9">
        <v>56498</v>
      </c>
      <c r="B633" s="9" t="s">
        <v>1299</v>
      </c>
      <c r="C633" s="9" t="s">
        <v>1300</v>
      </c>
      <c r="D633" s="9" t="s">
        <v>16</v>
      </c>
      <c r="E633" s="9" t="s">
        <v>17</v>
      </c>
      <c r="F633" s="10">
        <v>31723</v>
      </c>
      <c r="G633" s="7">
        <f t="shared" ca="1" si="36"/>
        <v>39.5</v>
      </c>
      <c r="H633" s="9" t="s">
        <v>36</v>
      </c>
      <c r="I633" s="9" t="s">
        <v>46</v>
      </c>
      <c r="J633" s="9" t="s">
        <v>20</v>
      </c>
      <c r="K633" s="9" t="s">
        <v>21</v>
      </c>
      <c r="L633" s="10">
        <v>45355</v>
      </c>
      <c r="M633" s="9">
        <f t="shared" ca="1" si="37"/>
        <v>2.1749999999999998</v>
      </c>
      <c r="N633" s="9">
        <v>10264</v>
      </c>
      <c r="O633" s="9" t="str">
        <f t="shared" si="38"/>
        <v>مارس</v>
      </c>
      <c r="P633" s="7" t="str">
        <f t="shared" si="39"/>
        <v>راتب طبيعي</v>
      </c>
    </row>
    <row r="634" spans="1:16" x14ac:dyDescent="0.3">
      <c r="A634" s="7">
        <v>52509</v>
      </c>
      <c r="B634" s="7" t="s">
        <v>1301</v>
      </c>
      <c r="C634" s="7" t="s">
        <v>1302</v>
      </c>
      <c r="D634" s="7" t="s">
        <v>66</v>
      </c>
      <c r="E634" s="7" t="s">
        <v>17</v>
      </c>
      <c r="F634" s="8">
        <v>35738</v>
      </c>
      <c r="G634" s="7">
        <f t="shared" ca="1" si="36"/>
        <v>28.508333333333333</v>
      </c>
      <c r="H634" s="7" t="s">
        <v>18</v>
      </c>
      <c r="I634" s="7" t="s">
        <v>46</v>
      </c>
      <c r="J634" s="7" t="s">
        <v>20</v>
      </c>
      <c r="K634" s="7" t="s">
        <v>21</v>
      </c>
      <c r="L634" s="8">
        <v>45356</v>
      </c>
      <c r="M634" s="7">
        <f t="shared" ca="1" si="37"/>
        <v>2.1722222222222221</v>
      </c>
      <c r="N634" s="7">
        <v>11642</v>
      </c>
      <c r="O634" s="7" t="str">
        <f t="shared" si="38"/>
        <v>مارس</v>
      </c>
      <c r="P634" s="7" t="str">
        <f t="shared" si="39"/>
        <v>راتب طبيعي</v>
      </c>
    </row>
    <row r="635" spans="1:16" x14ac:dyDescent="0.3">
      <c r="A635" s="9">
        <v>51025</v>
      </c>
      <c r="B635" s="9" t="s">
        <v>1303</v>
      </c>
      <c r="C635" s="9" t="s">
        <v>1304</v>
      </c>
      <c r="D635" s="9" t="s">
        <v>16</v>
      </c>
      <c r="E635" s="9" t="s">
        <v>35</v>
      </c>
      <c r="F635" s="10">
        <v>30365</v>
      </c>
      <c r="G635" s="7">
        <f t="shared" ca="1" si="36"/>
        <v>43.219444444444441</v>
      </c>
      <c r="H635" s="9" t="s">
        <v>18</v>
      </c>
      <c r="I635" s="9" t="s">
        <v>19</v>
      </c>
      <c r="J635" s="9" t="s">
        <v>26</v>
      </c>
      <c r="K635" s="9" t="s">
        <v>37</v>
      </c>
      <c r="L635" s="10">
        <v>45357</v>
      </c>
      <c r="M635" s="9">
        <f t="shared" ca="1" si="37"/>
        <v>2.1694444444444443</v>
      </c>
      <c r="N635" s="9">
        <v>17727</v>
      </c>
      <c r="O635" s="9" t="str">
        <f t="shared" si="38"/>
        <v>مارس</v>
      </c>
      <c r="P635" s="7" t="str">
        <f t="shared" si="39"/>
        <v>راتب طبيعي</v>
      </c>
    </row>
    <row r="636" spans="1:16" x14ac:dyDescent="0.3">
      <c r="A636" s="7">
        <v>56518</v>
      </c>
      <c r="B636" s="7" t="s">
        <v>1305</v>
      </c>
      <c r="C636" s="7" t="s">
        <v>1306</v>
      </c>
      <c r="D636" s="7" t="s">
        <v>146</v>
      </c>
      <c r="E636" s="7" t="s">
        <v>35</v>
      </c>
      <c r="F636" s="8">
        <v>34050</v>
      </c>
      <c r="G636" s="7">
        <f t="shared" ca="1" si="36"/>
        <v>33.125</v>
      </c>
      <c r="H636" s="7" t="s">
        <v>36</v>
      </c>
      <c r="I636" s="7" t="s">
        <v>19</v>
      </c>
      <c r="J636" s="7" t="s">
        <v>27</v>
      </c>
      <c r="K636" s="7" t="s">
        <v>26</v>
      </c>
      <c r="L636" s="8">
        <v>45358</v>
      </c>
      <c r="M636" s="7">
        <f t="shared" ca="1" si="37"/>
        <v>2.1666666666666665</v>
      </c>
      <c r="N636" s="7">
        <v>19208</v>
      </c>
      <c r="O636" s="7" t="str">
        <f t="shared" si="38"/>
        <v>مارس</v>
      </c>
      <c r="P636" s="7" t="str">
        <f t="shared" si="39"/>
        <v>راتب طبيعي</v>
      </c>
    </row>
    <row r="637" spans="1:16" x14ac:dyDescent="0.3">
      <c r="A637" s="9">
        <v>56053</v>
      </c>
      <c r="B637" s="9" t="s">
        <v>1307</v>
      </c>
      <c r="C637" s="9" t="s">
        <v>1308</v>
      </c>
      <c r="D637" s="9" t="s">
        <v>16</v>
      </c>
      <c r="E637" s="9" t="s">
        <v>35</v>
      </c>
      <c r="F637" s="10">
        <v>34431</v>
      </c>
      <c r="G637" s="7">
        <f t="shared" ca="1" si="36"/>
        <v>32.083333333333336</v>
      </c>
      <c r="H637" s="9" t="s">
        <v>36</v>
      </c>
      <c r="I637" s="9" t="s">
        <v>25</v>
      </c>
      <c r="J637" s="9" t="s">
        <v>31</v>
      </c>
      <c r="K637" s="9" t="s">
        <v>26</v>
      </c>
      <c r="L637" s="10">
        <v>45359</v>
      </c>
      <c r="M637" s="9">
        <f t="shared" ca="1" si="37"/>
        <v>2.1638888888888888</v>
      </c>
      <c r="N637" s="9">
        <v>6080</v>
      </c>
      <c r="O637" s="9" t="str">
        <f t="shared" si="38"/>
        <v>مارس</v>
      </c>
      <c r="P637" s="7" t="str">
        <f t="shared" si="39"/>
        <v>راتب طبيعي</v>
      </c>
    </row>
    <row r="638" spans="1:16" x14ac:dyDescent="0.3">
      <c r="A638" s="7">
        <v>58021</v>
      </c>
      <c r="B638" s="7" t="s">
        <v>1309</v>
      </c>
      <c r="C638" s="7" t="s">
        <v>1310</v>
      </c>
      <c r="D638" s="7" t="s">
        <v>146</v>
      </c>
      <c r="E638" s="7" t="s">
        <v>35</v>
      </c>
      <c r="F638" s="8">
        <v>36219</v>
      </c>
      <c r="G638" s="7">
        <f t="shared" ca="1" si="36"/>
        <v>27.18611111111111</v>
      </c>
      <c r="H638" s="7" t="s">
        <v>36</v>
      </c>
      <c r="I638" s="7" t="s">
        <v>25</v>
      </c>
      <c r="J638" s="7" t="s">
        <v>20</v>
      </c>
      <c r="K638" s="7" t="s">
        <v>21</v>
      </c>
      <c r="L638" s="8">
        <v>45360</v>
      </c>
      <c r="M638" s="7">
        <f t="shared" ca="1" si="37"/>
        <v>2.161111111111111</v>
      </c>
      <c r="N638" s="7">
        <v>4053</v>
      </c>
      <c r="O638" s="7" t="str">
        <f t="shared" si="38"/>
        <v>مارس</v>
      </c>
      <c r="P638" s="7" t="str">
        <f t="shared" si="39"/>
        <v>راتب عالي</v>
      </c>
    </row>
    <row r="639" spans="1:16" x14ac:dyDescent="0.3">
      <c r="A639" s="9">
        <v>53075</v>
      </c>
      <c r="B639" s="9" t="s">
        <v>1311</v>
      </c>
      <c r="C639" s="9" t="s">
        <v>1312</v>
      </c>
      <c r="D639" s="9" t="s">
        <v>66</v>
      </c>
      <c r="E639" s="9" t="s">
        <v>35</v>
      </c>
      <c r="F639" s="10">
        <v>32444</v>
      </c>
      <c r="G639" s="7">
        <f t="shared" ca="1" si="36"/>
        <v>37.524999999999999</v>
      </c>
      <c r="H639" s="9" t="s">
        <v>36</v>
      </c>
      <c r="I639" s="9" t="s">
        <v>25</v>
      </c>
      <c r="J639" s="9" t="s">
        <v>26</v>
      </c>
      <c r="K639" s="9" t="s">
        <v>37</v>
      </c>
      <c r="L639" s="10">
        <v>45361</v>
      </c>
      <c r="M639" s="9">
        <f t="shared" ca="1" si="37"/>
        <v>2.1583333333333332</v>
      </c>
      <c r="N639" s="9">
        <v>5666</v>
      </c>
      <c r="O639" s="9" t="str">
        <f t="shared" si="38"/>
        <v>مارس</v>
      </c>
      <c r="P639" s="7" t="str">
        <f t="shared" si="39"/>
        <v>راتب عالي</v>
      </c>
    </row>
    <row r="640" spans="1:16" x14ac:dyDescent="0.3">
      <c r="A640" s="7">
        <v>58303</v>
      </c>
      <c r="B640" s="7" t="s">
        <v>1313</v>
      </c>
      <c r="C640" s="7" t="s">
        <v>1314</v>
      </c>
      <c r="D640" s="7" t="s">
        <v>30</v>
      </c>
      <c r="E640" s="7" t="s">
        <v>35</v>
      </c>
      <c r="F640" s="8">
        <v>33509</v>
      </c>
      <c r="G640" s="7">
        <f t="shared" ca="1" si="36"/>
        <v>34.608333333333334</v>
      </c>
      <c r="H640" s="7" t="s">
        <v>18</v>
      </c>
      <c r="I640" s="7" t="s">
        <v>25</v>
      </c>
      <c r="J640" s="7" t="s">
        <v>20</v>
      </c>
      <c r="K640" s="7" t="s">
        <v>27</v>
      </c>
      <c r="L640" s="8">
        <v>45362</v>
      </c>
      <c r="M640" s="7">
        <f t="shared" ca="1" si="37"/>
        <v>2.1555555555555554</v>
      </c>
      <c r="N640" s="7">
        <v>5859</v>
      </c>
      <c r="O640" s="7" t="str">
        <f t="shared" si="38"/>
        <v>مارس</v>
      </c>
      <c r="P640" s="7" t="str">
        <f t="shared" si="39"/>
        <v>راتب عالي</v>
      </c>
    </row>
    <row r="641" spans="1:16" x14ac:dyDescent="0.3">
      <c r="A641" s="9">
        <v>51787</v>
      </c>
      <c r="B641" s="9" t="s">
        <v>1315</v>
      </c>
      <c r="C641" s="9" t="s">
        <v>1316</v>
      </c>
      <c r="D641" s="9" t="s">
        <v>40</v>
      </c>
      <c r="E641" s="9" t="s">
        <v>17</v>
      </c>
      <c r="F641" s="10">
        <v>33591</v>
      </c>
      <c r="G641" s="7">
        <f t="shared" ca="1" si="36"/>
        <v>34.383333333333333</v>
      </c>
      <c r="H641" s="9" t="s">
        <v>18</v>
      </c>
      <c r="I641" s="9" t="s">
        <v>46</v>
      </c>
      <c r="J641" s="9" t="s">
        <v>26</v>
      </c>
      <c r="K641" s="9" t="s">
        <v>31</v>
      </c>
      <c r="L641" s="10">
        <v>45363</v>
      </c>
      <c r="M641" s="9">
        <f t="shared" ca="1" si="37"/>
        <v>2.1527777777777777</v>
      </c>
      <c r="N641" s="9">
        <v>13183</v>
      </c>
      <c r="O641" s="9" t="str">
        <f t="shared" si="38"/>
        <v>مارس</v>
      </c>
      <c r="P641" s="7" t="str">
        <f t="shared" si="39"/>
        <v>راتب طبيعي</v>
      </c>
    </row>
    <row r="642" spans="1:16" x14ac:dyDescent="0.3">
      <c r="A642" s="7">
        <v>57640</v>
      </c>
      <c r="B642" s="7" t="s">
        <v>1317</v>
      </c>
      <c r="C642" s="7" t="s">
        <v>1318</v>
      </c>
      <c r="D642" s="7" t="s">
        <v>66</v>
      </c>
      <c r="E642" s="7" t="s">
        <v>35</v>
      </c>
      <c r="F642" s="8">
        <v>37910</v>
      </c>
      <c r="G642" s="7">
        <f t="shared" ca="1" si="36"/>
        <v>22.558333333333334</v>
      </c>
      <c r="H642" s="7" t="s">
        <v>36</v>
      </c>
      <c r="I642" s="7" t="s">
        <v>25</v>
      </c>
      <c r="J642" s="7" t="s">
        <v>26</v>
      </c>
      <c r="K642" s="7" t="s">
        <v>31</v>
      </c>
      <c r="L642" s="8">
        <v>45364</v>
      </c>
      <c r="M642" s="7">
        <f t="shared" ca="1" si="37"/>
        <v>2.15</v>
      </c>
      <c r="N642" s="7">
        <v>4817</v>
      </c>
      <c r="O642" s="7" t="str">
        <f t="shared" si="38"/>
        <v>مارس</v>
      </c>
      <c r="P642" s="7" t="str">
        <f t="shared" si="39"/>
        <v>راتب عالي</v>
      </c>
    </row>
    <row r="643" spans="1:16" x14ac:dyDescent="0.3">
      <c r="A643" s="9">
        <v>53651</v>
      </c>
      <c r="B643" s="9" t="s">
        <v>1319</v>
      </c>
      <c r="C643" s="9" t="s">
        <v>1320</v>
      </c>
      <c r="D643" s="9" t="s">
        <v>95</v>
      </c>
      <c r="E643" s="9" t="s">
        <v>35</v>
      </c>
      <c r="F643" s="10">
        <v>33173</v>
      </c>
      <c r="G643" s="7">
        <f t="shared" ref="G643:G706" ca="1" si="40">YEARFRAC(F643,TODAY())</f>
        <v>35.527777777777779</v>
      </c>
      <c r="H643" s="9" t="s">
        <v>36</v>
      </c>
      <c r="I643" s="9" t="s">
        <v>25</v>
      </c>
      <c r="J643" s="9" t="s">
        <v>27</v>
      </c>
      <c r="K643" s="9" t="s">
        <v>27</v>
      </c>
      <c r="L643" s="10">
        <v>45365</v>
      </c>
      <c r="M643" s="9">
        <f t="shared" ref="M643:M706" ca="1" si="41">YEARFRAC(L643,TODAY())</f>
        <v>2.1472222222222221</v>
      </c>
      <c r="N643" s="9">
        <v>6868</v>
      </c>
      <c r="O643" s="9" t="str">
        <f t="shared" ref="O643:O706" si="42">TEXT(L643,"mmm")</f>
        <v>مارس</v>
      </c>
      <c r="P643" s="7" t="str">
        <f t="shared" ref="P643:P706" si="43">IF(N643&gt;=S$10,"راتب طبيعي","راتب عالي")</f>
        <v>راتب طبيعي</v>
      </c>
    </row>
    <row r="644" spans="1:16" x14ac:dyDescent="0.3">
      <c r="A644" s="7">
        <v>57816</v>
      </c>
      <c r="B644" s="7" t="s">
        <v>1321</v>
      </c>
      <c r="C644" s="7" t="s">
        <v>1322</v>
      </c>
      <c r="D644" s="7" t="s">
        <v>66</v>
      </c>
      <c r="E644" s="7" t="s">
        <v>17</v>
      </c>
      <c r="F644" s="8">
        <v>31969</v>
      </c>
      <c r="G644" s="7">
        <f t="shared" ca="1" si="40"/>
        <v>38.822222222222223</v>
      </c>
      <c r="H644" s="7" t="s">
        <v>18</v>
      </c>
      <c r="I644" s="7" t="s">
        <v>25</v>
      </c>
      <c r="J644" s="7" t="s">
        <v>21</v>
      </c>
      <c r="K644" s="7" t="s">
        <v>27</v>
      </c>
      <c r="L644" s="8">
        <v>45366</v>
      </c>
      <c r="M644" s="7">
        <f t="shared" ca="1" si="41"/>
        <v>2.1444444444444444</v>
      </c>
      <c r="N644" s="7">
        <v>6951</v>
      </c>
      <c r="O644" s="7" t="str">
        <f t="shared" si="42"/>
        <v>مارس</v>
      </c>
      <c r="P644" s="7" t="str">
        <f t="shared" si="43"/>
        <v>راتب طبيعي</v>
      </c>
    </row>
    <row r="645" spans="1:16" x14ac:dyDescent="0.3">
      <c r="A645" s="9">
        <v>57932</v>
      </c>
      <c r="B645" s="9" t="s">
        <v>1323</v>
      </c>
      <c r="C645" s="9" t="s">
        <v>1324</v>
      </c>
      <c r="D645" s="9" t="s">
        <v>34</v>
      </c>
      <c r="E645" s="9" t="s">
        <v>17</v>
      </c>
      <c r="F645" s="10">
        <v>32373</v>
      </c>
      <c r="G645" s="7">
        <f t="shared" ca="1" si="40"/>
        <v>37.719444444444441</v>
      </c>
      <c r="H645" s="9" t="s">
        <v>18</v>
      </c>
      <c r="I645" s="9" t="s">
        <v>25</v>
      </c>
      <c r="J645" s="9" t="s">
        <v>27</v>
      </c>
      <c r="K645" s="9" t="s">
        <v>20</v>
      </c>
      <c r="L645" s="10">
        <v>45367</v>
      </c>
      <c r="M645" s="9">
        <f t="shared" ca="1" si="41"/>
        <v>2.1416666666666666</v>
      </c>
      <c r="N645" s="9">
        <v>5779</v>
      </c>
      <c r="O645" s="9" t="str">
        <f t="shared" si="42"/>
        <v>مارس</v>
      </c>
      <c r="P645" s="7" t="str">
        <f t="shared" si="43"/>
        <v>راتب عالي</v>
      </c>
    </row>
    <row r="646" spans="1:16" x14ac:dyDescent="0.3">
      <c r="A646" s="7">
        <v>51920</v>
      </c>
      <c r="B646" s="7" t="s">
        <v>1325</v>
      </c>
      <c r="C646" s="7" t="s">
        <v>1326</v>
      </c>
      <c r="D646" s="7" t="s">
        <v>16</v>
      </c>
      <c r="E646" s="7" t="s">
        <v>17</v>
      </c>
      <c r="F646" s="8">
        <v>31710</v>
      </c>
      <c r="G646" s="7">
        <f t="shared" ca="1" si="40"/>
        <v>39.533333333333331</v>
      </c>
      <c r="H646" s="7" t="s">
        <v>36</v>
      </c>
      <c r="I646" s="7" t="s">
        <v>19</v>
      </c>
      <c r="J646" s="7" t="s">
        <v>31</v>
      </c>
      <c r="K646" s="7" t="s">
        <v>31</v>
      </c>
      <c r="L646" s="8">
        <v>45368</v>
      </c>
      <c r="M646" s="7">
        <f t="shared" ca="1" si="41"/>
        <v>2.1388888888888888</v>
      </c>
      <c r="N646" s="7">
        <v>15489</v>
      </c>
      <c r="O646" s="7" t="str">
        <f t="shared" si="42"/>
        <v>مارس</v>
      </c>
      <c r="P646" s="7" t="str">
        <f t="shared" si="43"/>
        <v>راتب طبيعي</v>
      </c>
    </row>
    <row r="647" spans="1:16" x14ac:dyDescent="0.3">
      <c r="A647" s="9">
        <v>56263</v>
      </c>
      <c r="B647" s="9" t="s">
        <v>1327</v>
      </c>
      <c r="C647" s="9" t="s">
        <v>1328</v>
      </c>
      <c r="D647" s="9" t="s">
        <v>16</v>
      </c>
      <c r="E647" s="9" t="s">
        <v>17</v>
      </c>
      <c r="F647" s="10">
        <v>35931</v>
      </c>
      <c r="G647" s="7">
        <f t="shared" ca="1" si="40"/>
        <v>27.975000000000001</v>
      </c>
      <c r="H647" s="9" t="s">
        <v>36</v>
      </c>
      <c r="I647" s="9" t="s">
        <v>25</v>
      </c>
      <c r="J647" s="9" t="s">
        <v>21</v>
      </c>
      <c r="K647" s="9" t="s">
        <v>31</v>
      </c>
      <c r="L647" s="10">
        <v>45369</v>
      </c>
      <c r="M647" s="9">
        <f t="shared" ca="1" si="41"/>
        <v>2.1361111111111111</v>
      </c>
      <c r="N647" s="9">
        <v>5712</v>
      </c>
      <c r="O647" s="9" t="str">
        <f t="shared" si="42"/>
        <v>مارس</v>
      </c>
      <c r="P647" s="7" t="str">
        <f t="shared" si="43"/>
        <v>راتب عالي</v>
      </c>
    </row>
    <row r="648" spans="1:16" x14ac:dyDescent="0.3">
      <c r="A648" s="7">
        <v>53986</v>
      </c>
      <c r="B648" s="7" t="s">
        <v>1329</v>
      </c>
      <c r="C648" s="7" t="s">
        <v>1330</v>
      </c>
      <c r="D648" s="7" t="s">
        <v>95</v>
      </c>
      <c r="E648" s="7" t="s">
        <v>35</v>
      </c>
      <c r="F648" s="8">
        <v>33248</v>
      </c>
      <c r="G648" s="7">
        <f t="shared" ca="1" si="40"/>
        <v>35.325000000000003</v>
      </c>
      <c r="H648" s="7" t="s">
        <v>36</v>
      </c>
      <c r="I648" s="7" t="s">
        <v>25</v>
      </c>
      <c r="J648" s="7" t="s">
        <v>21</v>
      </c>
      <c r="K648" s="7" t="s">
        <v>37</v>
      </c>
      <c r="L648" s="8">
        <v>45370</v>
      </c>
      <c r="M648" s="7">
        <f t="shared" ca="1" si="41"/>
        <v>2.1333333333333333</v>
      </c>
      <c r="N648" s="7">
        <v>3156</v>
      </c>
      <c r="O648" s="7" t="str">
        <f t="shared" si="42"/>
        <v>مارس</v>
      </c>
      <c r="P648" s="7" t="str">
        <f t="shared" si="43"/>
        <v>راتب عالي</v>
      </c>
    </row>
    <row r="649" spans="1:16" x14ac:dyDescent="0.3">
      <c r="A649" s="9">
        <v>50306</v>
      </c>
      <c r="B649" s="9" t="s">
        <v>1331</v>
      </c>
      <c r="C649" s="9" t="s">
        <v>1332</v>
      </c>
      <c r="D649" s="9" t="s">
        <v>53</v>
      </c>
      <c r="E649" s="9" t="s">
        <v>17</v>
      </c>
      <c r="F649" s="10">
        <v>30946</v>
      </c>
      <c r="G649" s="7">
        <f t="shared" ca="1" si="40"/>
        <v>41.62777777777778</v>
      </c>
      <c r="H649" s="9" t="s">
        <v>18</v>
      </c>
      <c r="I649" s="9" t="s">
        <v>25</v>
      </c>
      <c r="J649" s="9" t="s">
        <v>31</v>
      </c>
      <c r="K649" s="9" t="s">
        <v>27</v>
      </c>
      <c r="L649" s="10">
        <v>45371</v>
      </c>
      <c r="M649" s="9">
        <f t="shared" ca="1" si="41"/>
        <v>2.1305555555555555</v>
      </c>
      <c r="N649" s="9">
        <v>5994</v>
      </c>
      <c r="O649" s="9" t="str">
        <f t="shared" si="42"/>
        <v>مارس</v>
      </c>
      <c r="P649" s="7" t="str">
        <f t="shared" si="43"/>
        <v>راتب طبيعي</v>
      </c>
    </row>
    <row r="650" spans="1:16" x14ac:dyDescent="0.3">
      <c r="A650" s="7">
        <v>54613</v>
      </c>
      <c r="B650" s="7" t="s">
        <v>1333</v>
      </c>
      <c r="C650" s="7" t="s">
        <v>1334</v>
      </c>
      <c r="D650" s="7" t="s">
        <v>16</v>
      </c>
      <c r="E650" s="7" t="s">
        <v>17</v>
      </c>
      <c r="F650" s="8">
        <v>31876</v>
      </c>
      <c r="G650" s="7">
        <f t="shared" ca="1" si="40"/>
        <v>39.077777777777776</v>
      </c>
      <c r="H650" s="7" t="s">
        <v>18</v>
      </c>
      <c r="I650" s="7" t="s">
        <v>25</v>
      </c>
      <c r="J650" s="7" t="s">
        <v>26</v>
      </c>
      <c r="K650" s="7" t="s">
        <v>27</v>
      </c>
      <c r="L650" s="8">
        <v>45372</v>
      </c>
      <c r="M650" s="7">
        <f t="shared" ca="1" si="41"/>
        <v>2.1277777777777778</v>
      </c>
      <c r="N650" s="7">
        <v>4663</v>
      </c>
      <c r="O650" s="7" t="str">
        <f t="shared" si="42"/>
        <v>مارس</v>
      </c>
      <c r="P650" s="7" t="str">
        <f t="shared" si="43"/>
        <v>راتب عالي</v>
      </c>
    </row>
    <row r="651" spans="1:16" x14ac:dyDescent="0.3">
      <c r="A651" s="9">
        <v>50500</v>
      </c>
      <c r="B651" s="9" t="s">
        <v>1335</v>
      </c>
      <c r="C651" s="9" t="s">
        <v>1336</v>
      </c>
      <c r="D651" s="9" t="s">
        <v>95</v>
      </c>
      <c r="E651" s="9" t="s">
        <v>35</v>
      </c>
      <c r="F651" s="10">
        <v>36112</v>
      </c>
      <c r="G651" s="7">
        <f t="shared" ca="1" si="40"/>
        <v>27.483333333333334</v>
      </c>
      <c r="H651" s="9" t="s">
        <v>36</v>
      </c>
      <c r="I651" s="9" t="s">
        <v>25</v>
      </c>
      <c r="J651" s="9" t="s">
        <v>21</v>
      </c>
      <c r="K651" s="9" t="s">
        <v>31</v>
      </c>
      <c r="L651" s="10">
        <v>45373</v>
      </c>
      <c r="M651" s="9">
        <f t="shared" ca="1" si="41"/>
        <v>2.125</v>
      </c>
      <c r="N651" s="9">
        <v>4438</v>
      </c>
      <c r="O651" s="9" t="str">
        <f t="shared" si="42"/>
        <v>مارس</v>
      </c>
      <c r="P651" s="7" t="str">
        <f t="shared" si="43"/>
        <v>راتب عالي</v>
      </c>
    </row>
    <row r="652" spans="1:16" x14ac:dyDescent="0.3">
      <c r="A652" s="7">
        <v>52364</v>
      </c>
      <c r="B652" s="7" t="s">
        <v>1337</v>
      </c>
      <c r="C652" s="7" t="s">
        <v>1338</v>
      </c>
      <c r="D652" s="7" t="s">
        <v>53</v>
      </c>
      <c r="E652" s="7" t="s">
        <v>17</v>
      </c>
      <c r="F652" s="8">
        <v>36659</v>
      </c>
      <c r="G652" s="7">
        <f t="shared" ca="1" si="40"/>
        <v>25.983333333333334</v>
      </c>
      <c r="H652" s="7" t="s">
        <v>36</v>
      </c>
      <c r="I652" s="7" t="s">
        <v>19</v>
      </c>
      <c r="J652" s="7" t="s">
        <v>20</v>
      </c>
      <c r="K652" s="7" t="s">
        <v>37</v>
      </c>
      <c r="L652" s="8">
        <v>45374</v>
      </c>
      <c r="M652" s="7">
        <f t="shared" ca="1" si="41"/>
        <v>2.1222222222222222</v>
      </c>
      <c r="N652" s="7">
        <v>29480</v>
      </c>
      <c r="O652" s="7" t="str">
        <f t="shared" si="42"/>
        <v>مارس</v>
      </c>
      <c r="P652" s="7" t="str">
        <f t="shared" si="43"/>
        <v>راتب طبيعي</v>
      </c>
    </row>
    <row r="653" spans="1:16" x14ac:dyDescent="0.3">
      <c r="A653" s="9">
        <v>58822</v>
      </c>
      <c r="B653" s="9" t="s">
        <v>1339</v>
      </c>
      <c r="C653" s="9" t="s">
        <v>1340</v>
      </c>
      <c r="D653" s="9" t="s">
        <v>40</v>
      </c>
      <c r="E653" s="9" t="s">
        <v>35</v>
      </c>
      <c r="F653" s="10">
        <v>30439</v>
      </c>
      <c r="G653" s="7">
        <f t="shared" ca="1" si="40"/>
        <v>43.011111111111113</v>
      </c>
      <c r="H653" s="9" t="s">
        <v>18</v>
      </c>
      <c r="I653" s="9" t="s">
        <v>25</v>
      </c>
      <c r="J653" s="9" t="s">
        <v>26</v>
      </c>
      <c r="K653" s="9" t="s">
        <v>21</v>
      </c>
      <c r="L653" s="10">
        <v>45375</v>
      </c>
      <c r="M653" s="9">
        <f t="shared" ca="1" si="41"/>
        <v>2.1194444444444445</v>
      </c>
      <c r="N653" s="9">
        <v>4400</v>
      </c>
      <c r="O653" s="9" t="str">
        <f t="shared" si="42"/>
        <v>مارس</v>
      </c>
      <c r="P653" s="7" t="str">
        <f t="shared" si="43"/>
        <v>راتب عالي</v>
      </c>
    </row>
    <row r="654" spans="1:16" x14ac:dyDescent="0.3">
      <c r="A654" s="7">
        <v>59296</v>
      </c>
      <c r="B654" s="7" t="s">
        <v>1341</v>
      </c>
      <c r="C654" s="7" t="s">
        <v>1342</v>
      </c>
      <c r="D654" s="7" t="s">
        <v>30</v>
      </c>
      <c r="E654" s="7" t="s">
        <v>35</v>
      </c>
      <c r="F654" s="8">
        <v>37789</v>
      </c>
      <c r="G654" s="7">
        <f t="shared" ca="1" si="40"/>
        <v>22.888888888888889</v>
      </c>
      <c r="H654" s="7" t="s">
        <v>36</v>
      </c>
      <c r="I654" s="7" t="s">
        <v>25</v>
      </c>
      <c r="J654" s="7" t="s">
        <v>20</v>
      </c>
      <c r="K654" s="7" t="s">
        <v>26</v>
      </c>
      <c r="L654" s="8">
        <v>45376</v>
      </c>
      <c r="M654" s="7">
        <f t="shared" ca="1" si="41"/>
        <v>2.1166666666666667</v>
      </c>
      <c r="N654" s="7">
        <v>5712</v>
      </c>
      <c r="O654" s="7" t="str">
        <f t="shared" si="42"/>
        <v>مارس</v>
      </c>
      <c r="P654" s="7" t="str">
        <f t="shared" si="43"/>
        <v>راتب عالي</v>
      </c>
    </row>
    <row r="655" spans="1:16" x14ac:dyDescent="0.3">
      <c r="A655" s="9">
        <v>55451</v>
      </c>
      <c r="B655" s="9" t="s">
        <v>1343</v>
      </c>
      <c r="C655" s="9" t="s">
        <v>1344</v>
      </c>
      <c r="D655" s="9" t="s">
        <v>95</v>
      </c>
      <c r="E655" s="9" t="s">
        <v>17</v>
      </c>
      <c r="F655" s="10">
        <v>30847</v>
      </c>
      <c r="G655" s="7">
        <f t="shared" ca="1" si="40"/>
        <v>41.897222222222226</v>
      </c>
      <c r="H655" s="9" t="s">
        <v>18</v>
      </c>
      <c r="I655" s="9" t="s">
        <v>46</v>
      </c>
      <c r="J655" s="9" t="s">
        <v>21</v>
      </c>
      <c r="K655" s="9" t="s">
        <v>31</v>
      </c>
      <c r="L655" s="10">
        <v>45377</v>
      </c>
      <c r="M655" s="9">
        <f t="shared" ca="1" si="41"/>
        <v>2.1138888888888889</v>
      </c>
      <c r="N655" s="9">
        <v>12962</v>
      </c>
      <c r="O655" s="9" t="str">
        <f t="shared" si="42"/>
        <v>مارس</v>
      </c>
      <c r="P655" s="7" t="str">
        <f t="shared" si="43"/>
        <v>راتب طبيعي</v>
      </c>
    </row>
    <row r="656" spans="1:16" x14ac:dyDescent="0.3">
      <c r="A656" s="7">
        <v>58506</v>
      </c>
      <c r="B656" s="7" t="s">
        <v>1345</v>
      </c>
      <c r="C656" s="7" t="s">
        <v>1346</v>
      </c>
      <c r="D656" s="7" t="s">
        <v>43</v>
      </c>
      <c r="E656" s="7" t="s">
        <v>17</v>
      </c>
      <c r="F656" s="8">
        <v>34411</v>
      </c>
      <c r="G656" s="7">
        <f t="shared" ca="1" si="40"/>
        <v>32.136111111111113</v>
      </c>
      <c r="H656" s="7" t="s">
        <v>18</v>
      </c>
      <c r="I656" s="7" t="s">
        <v>25</v>
      </c>
      <c r="J656" s="7" t="s">
        <v>27</v>
      </c>
      <c r="K656" s="7" t="s">
        <v>27</v>
      </c>
      <c r="L656" s="8">
        <v>45378</v>
      </c>
      <c r="M656" s="7">
        <f t="shared" ca="1" si="41"/>
        <v>2.1111111111111112</v>
      </c>
      <c r="N656" s="7">
        <v>6886</v>
      </c>
      <c r="O656" s="7" t="str">
        <f t="shared" si="42"/>
        <v>مارس</v>
      </c>
      <c r="P656" s="7" t="str">
        <f t="shared" si="43"/>
        <v>راتب طبيعي</v>
      </c>
    </row>
    <row r="657" spans="1:16" x14ac:dyDescent="0.3">
      <c r="A657" s="9">
        <v>57676</v>
      </c>
      <c r="B657" s="9" t="s">
        <v>1347</v>
      </c>
      <c r="C657" s="9" t="s">
        <v>1348</v>
      </c>
      <c r="D657" s="9" t="s">
        <v>40</v>
      </c>
      <c r="E657" s="9" t="s">
        <v>35</v>
      </c>
      <c r="F657" s="10">
        <v>31210</v>
      </c>
      <c r="G657" s="7">
        <f t="shared" ca="1" si="40"/>
        <v>40.902777777777779</v>
      </c>
      <c r="H657" s="9" t="s">
        <v>18</v>
      </c>
      <c r="I657" s="9" t="s">
        <v>19</v>
      </c>
      <c r="J657" s="9" t="s">
        <v>26</v>
      </c>
      <c r="K657" s="9" t="s">
        <v>26</v>
      </c>
      <c r="L657" s="10">
        <v>45379</v>
      </c>
      <c r="M657" s="9">
        <f t="shared" ca="1" si="41"/>
        <v>2.1083333333333334</v>
      </c>
      <c r="N657" s="9">
        <v>29911</v>
      </c>
      <c r="O657" s="9" t="str">
        <f t="shared" si="42"/>
        <v>مارس</v>
      </c>
      <c r="P657" s="7" t="str">
        <f t="shared" si="43"/>
        <v>راتب طبيعي</v>
      </c>
    </row>
    <row r="658" spans="1:16" x14ac:dyDescent="0.3">
      <c r="A658" s="7">
        <v>56590</v>
      </c>
      <c r="B658" s="7" t="s">
        <v>1349</v>
      </c>
      <c r="C658" s="7" t="s">
        <v>1350</v>
      </c>
      <c r="D658" s="7" t="s">
        <v>43</v>
      </c>
      <c r="E658" s="7" t="s">
        <v>17</v>
      </c>
      <c r="F658" s="8">
        <v>34416</v>
      </c>
      <c r="G658" s="7">
        <f t="shared" ca="1" si="40"/>
        <v>32.12222222222222</v>
      </c>
      <c r="H658" s="7" t="s">
        <v>18</v>
      </c>
      <c r="I658" s="7" t="s">
        <v>46</v>
      </c>
      <c r="J658" s="7" t="s">
        <v>26</v>
      </c>
      <c r="K658" s="7" t="s">
        <v>20</v>
      </c>
      <c r="L658" s="8">
        <v>45380</v>
      </c>
      <c r="M658" s="7">
        <f t="shared" ca="1" si="41"/>
        <v>2.1055555555555556</v>
      </c>
      <c r="N658" s="7">
        <v>14246</v>
      </c>
      <c r="O658" s="7" t="str">
        <f t="shared" si="42"/>
        <v>مارس</v>
      </c>
      <c r="P658" s="7" t="str">
        <f t="shared" si="43"/>
        <v>راتب طبيعي</v>
      </c>
    </row>
    <row r="659" spans="1:16" x14ac:dyDescent="0.3">
      <c r="A659" s="9">
        <v>56311</v>
      </c>
      <c r="B659" s="9" t="s">
        <v>1351</v>
      </c>
      <c r="C659" s="9" t="s">
        <v>1352</v>
      </c>
      <c r="D659" s="9" t="s">
        <v>34</v>
      </c>
      <c r="E659" s="9" t="s">
        <v>35</v>
      </c>
      <c r="F659" s="10">
        <v>36439</v>
      </c>
      <c r="G659" s="7">
        <f t="shared" ca="1" si="40"/>
        <v>26.586111111111112</v>
      </c>
      <c r="H659" s="9" t="s">
        <v>36</v>
      </c>
      <c r="I659" s="9" t="s">
        <v>25</v>
      </c>
      <c r="J659" s="9" t="s">
        <v>26</v>
      </c>
      <c r="K659" s="9" t="s">
        <v>20</v>
      </c>
      <c r="L659" s="10">
        <v>45381</v>
      </c>
      <c r="M659" s="9">
        <f t="shared" ca="1" si="41"/>
        <v>2.1027777777777779</v>
      </c>
      <c r="N659" s="9">
        <v>6579</v>
      </c>
      <c r="O659" s="9" t="str">
        <f t="shared" si="42"/>
        <v>مارس</v>
      </c>
      <c r="P659" s="7" t="str">
        <f t="shared" si="43"/>
        <v>راتب طبيعي</v>
      </c>
    </row>
    <row r="660" spans="1:16" x14ac:dyDescent="0.3">
      <c r="A660" s="7">
        <v>53563</v>
      </c>
      <c r="B660" s="7" t="s">
        <v>1353</v>
      </c>
      <c r="C660" s="7" t="s">
        <v>1354</v>
      </c>
      <c r="D660" s="7" t="s">
        <v>16</v>
      </c>
      <c r="E660" s="7" t="s">
        <v>17</v>
      </c>
      <c r="F660" s="8">
        <v>34614</v>
      </c>
      <c r="G660" s="7">
        <f t="shared" ca="1" si="40"/>
        <v>31.583333333333332</v>
      </c>
      <c r="H660" s="7" t="s">
        <v>36</v>
      </c>
      <c r="I660" s="7" t="s">
        <v>25</v>
      </c>
      <c r="J660" s="7" t="s">
        <v>31</v>
      </c>
      <c r="K660" s="7" t="s">
        <v>31</v>
      </c>
      <c r="L660" s="8">
        <v>45382</v>
      </c>
      <c r="M660" s="7">
        <f t="shared" ca="1" si="41"/>
        <v>2.1027777777777779</v>
      </c>
      <c r="N660" s="7">
        <v>3364</v>
      </c>
      <c r="O660" s="7" t="str">
        <f t="shared" si="42"/>
        <v>مارس</v>
      </c>
      <c r="P660" s="7" t="str">
        <f t="shared" si="43"/>
        <v>راتب عالي</v>
      </c>
    </row>
    <row r="661" spans="1:16" x14ac:dyDescent="0.3">
      <c r="A661" s="9">
        <v>59714</v>
      </c>
      <c r="B661" s="9" t="s">
        <v>1355</v>
      </c>
      <c r="C661" s="9" t="s">
        <v>1356</v>
      </c>
      <c r="D661" s="9" t="s">
        <v>34</v>
      </c>
      <c r="E661" s="9" t="s">
        <v>35</v>
      </c>
      <c r="F661" s="10">
        <v>32084</v>
      </c>
      <c r="G661" s="7">
        <f t="shared" ca="1" si="40"/>
        <v>38.511111111111113</v>
      </c>
      <c r="H661" s="9" t="s">
        <v>36</v>
      </c>
      <c r="I661" s="9" t="s">
        <v>25</v>
      </c>
      <c r="J661" s="9" t="s">
        <v>20</v>
      </c>
      <c r="K661" s="9" t="s">
        <v>21</v>
      </c>
      <c r="L661" s="10">
        <v>45383</v>
      </c>
      <c r="M661" s="9">
        <f t="shared" ca="1" si="41"/>
        <v>2.1</v>
      </c>
      <c r="N661" s="9">
        <v>3494</v>
      </c>
      <c r="O661" s="9" t="str">
        <f t="shared" si="42"/>
        <v>أبريل</v>
      </c>
      <c r="P661" s="7" t="str">
        <f t="shared" si="43"/>
        <v>راتب عالي</v>
      </c>
    </row>
    <row r="662" spans="1:16" x14ac:dyDescent="0.3">
      <c r="A662" s="7">
        <v>54789</v>
      </c>
      <c r="B662" s="7" t="s">
        <v>1357</v>
      </c>
      <c r="C662" s="7" t="s">
        <v>1358</v>
      </c>
      <c r="D662" s="7" t="s">
        <v>40</v>
      </c>
      <c r="E662" s="7" t="s">
        <v>35</v>
      </c>
      <c r="F662" s="8">
        <v>30630</v>
      </c>
      <c r="G662" s="7">
        <f t="shared" ca="1" si="40"/>
        <v>42.491666666666667</v>
      </c>
      <c r="H662" s="7" t="s">
        <v>18</v>
      </c>
      <c r="I662" s="7" t="s">
        <v>46</v>
      </c>
      <c r="J662" s="7" t="s">
        <v>27</v>
      </c>
      <c r="K662" s="7" t="s">
        <v>37</v>
      </c>
      <c r="L662" s="8">
        <v>45384</v>
      </c>
      <c r="M662" s="7">
        <f t="shared" ca="1" si="41"/>
        <v>2.0972222222222223</v>
      </c>
      <c r="N662" s="7">
        <v>11271</v>
      </c>
      <c r="O662" s="7" t="str">
        <f t="shared" si="42"/>
        <v>أبريل</v>
      </c>
      <c r="P662" s="7" t="str">
        <f t="shared" si="43"/>
        <v>راتب طبيعي</v>
      </c>
    </row>
    <row r="663" spans="1:16" x14ac:dyDescent="0.3">
      <c r="A663" s="9">
        <v>57649</v>
      </c>
      <c r="B663" s="9" t="s">
        <v>1359</v>
      </c>
      <c r="C663" s="9" t="s">
        <v>1360</v>
      </c>
      <c r="D663" s="9" t="s">
        <v>146</v>
      </c>
      <c r="E663" s="9" t="s">
        <v>17</v>
      </c>
      <c r="F663" s="10">
        <v>33290</v>
      </c>
      <c r="G663" s="7">
        <f t="shared" ca="1" si="40"/>
        <v>35.211111111111109</v>
      </c>
      <c r="H663" s="9" t="s">
        <v>18</v>
      </c>
      <c r="I663" s="9" t="s">
        <v>25</v>
      </c>
      <c r="J663" s="9" t="s">
        <v>21</v>
      </c>
      <c r="K663" s="9" t="s">
        <v>21</v>
      </c>
      <c r="L663" s="10">
        <v>45385</v>
      </c>
      <c r="M663" s="9">
        <f t="shared" ca="1" si="41"/>
        <v>2.0944444444444446</v>
      </c>
      <c r="N663" s="9">
        <v>5825</v>
      </c>
      <c r="O663" s="9" t="str">
        <f t="shared" si="42"/>
        <v>أبريل</v>
      </c>
      <c r="P663" s="7" t="str">
        <f t="shared" si="43"/>
        <v>راتب عالي</v>
      </c>
    </row>
    <row r="664" spans="1:16" x14ac:dyDescent="0.3">
      <c r="A664" s="7">
        <v>58753</v>
      </c>
      <c r="B664" s="7" t="s">
        <v>1361</v>
      </c>
      <c r="C664" s="7" t="s">
        <v>1362</v>
      </c>
      <c r="D664" s="7" t="s">
        <v>34</v>
      </c>
      <c r="E664" s="7" t="s">
        <v>17</v>
      </c>
      <c r="F664" s="8">
        <v>30399</v>
      </c>
      <c r="G664" s="7">
        <f t="shared" ca="1" si="40"/>
        <v>43.119444444444447</v>
      </c>
      <c r="H664" s="7" t="s">
        <v>18</v>
      </c>
      <c r="I664" s="7" t="s">
        <v>46</v>
      </c>
      <c r="J664" s="7" t="s">
        <v>31</v>
      </c>
      <c r="K664" s="7" t="s">
        <v>21</v>
      </c>
      <c r="L664" s="8">
        <v>45386</v>
      </c>
      <c r="M664" s="7">
        <f t="shared" ca="1" si="41"/>
        <v>2.0916666666666668</v>
      </c>
      <c r="N664" s="7">
        <v>13394</v>
      </c>
      <c r="O664" s="7" t="str">
        <f t="shared" si="42"/>
        <v>أبريل</v>
      </c>
      <c r="P664" s="7" t="str">
        <f t="shared" si="43"/>
        <v>راتب طبيعي</v>
      </c>
    </row>
    <row r="665" spans="1:16" x14ac:dyDescent="0.3">
      <c r="A665" s="9">
        <v>52536</v>
      </c>
      <c r="B665" s="9" t="s">
        <v>1363</v>
      </c>
      <c r="C665" s="9" t="s">
        <v>1364</v>
      </c>
      <c r="D665" s="9" t="s">
        <v>95</v>
      </c>
      <c r="E665" s="9" t="s">
        <v>17</v>
      </c>
      <c r="F665" s="10">
        <v>36758</v>
      </c>
      <c r="G665" s="7">
        <f t="shared" ca="1" si="40"/>
        <v>25.713888888888889</v>
      </c>
      <c r="H665" s="9" t="s">
        <v>36</v>
      </c>
      <c r="I665" s="9" t="s">
        <v>25</v>
      </c>
      <c r="J665" s="9" t="s">
        <v>21</v>
      </c>
      <c r="K665" s="9" t="s">
        <v>31</v>
      </c>
      <c r="L665" s="10">
        <v>45387</v>
      </c>
      <c r="M665" s="9">
        <f t="shared" ca="1" si="41"/>
        <v>2.088888888888889</v>
      </c>
      <c r="N665" s="9">
        <v>5805</v>
      </c>
      <c r="O665" s="9" t="str">
        <f t="shared" si="42"/>
        <v>أبريل</v>
      </c>
      <c r="P665" s="7" t="str">
        <f t="shared" si="43"/>
        <v>راتب عالي</v>
      </c>
    </row>
    <row r="666" spans="1:16" x14ac:dyDescent="0.3">
      <c r="A666" s="7">
        <v>52763</v>
      </c>
      <c r="B666" s="7" t="s">
        <v>1365</v>
      </c>
      <c r="C666" s="7" t="s">
        <v>1366</v>
      </c>
      <c r="D666" s="7" t="s">
        <v>146</v>
      </c>
      <c r="E666" s="7" t="s">
        <v>35</v>
      </c>
      <c r="F666" s="8">
        <v>33994</v>
      </c>
      <c r="G666" s="7">
        <f t="shared" ca="1" si="40"/>
        <v>33.283333333333331</v>
      </c>
      <c r="H666" s="7" t="s">
        <v>36</v>
      </c>
      <c r="I666" s="7" t="s">
        <v>25</v>
      </c>
      <c r="J666" s="7" t="s">
        <v>27</v>
      </c>
      <c r="K666" s="7" t="s">
        <v>27</v>
      </c>
      <c r="L666" s="8">
        <v>45388</v>
      </c>
      <c r="M666" s="7">
        <f t="shared" ca="1" si="41"/>
        <v>2.0861111111111112</v>
      </c>
      <c r="N666" s="7">
        <v>6038</v>
      </c>
      <c r="O666" s="7" t="str">
        <f t="shared" si="42"/>
        <v>أبريل</v>
      </c>
      <c r="P666" s="7" t="str">
        <f t="shared" si="43"/>
        <v>راتب طبيعي</v>
      </c>
    </row>
    <row r="667" spans="1:16" x14ac:dyDescent="0.3">
      <c r="A667" s="9">
        <v>57030</v>
      </c>
      <c r="B667" s="9" t="s">
        <v>1367</v>
      </c>
      <c r="C667" s="9" t="s">
        <v>1368</v>
      </c>
      <c r="D667" s="9" t="s">
        <v>146</v>
      </c>
      <c r="E667" s="9" t="s">
        <v>17</v>
      </c>
      <c r="F667" s="10">
        <v>31301</v>
      </c>
      <c r="G667" s="7">
        <f t="shared" ca="1" si="40"/>
        <v>40.655555555555559</v>
      </c>
      <c r="H667" s="9" t="s">
        <v>18</v>
      </c>
      <c r="I667" s="9" t="s">
        <v>19</v>
      </c>
      <c r="J667" s="9" t="s">
        <v>20</v>
      </c>
      <c r="K667" s="9" t="s">
        <v>20</v>
      </c>
      <c r="L667" s="10">
        <v>45389</v>
      </c>
      <c r="M667" s="9">
        <f t="shared" ca="1" si="41"/>
        <v>2.0833333333333335</v>
      </c>
      <c r="N667" s="9">
        <v>22692</v>
      </c>
      <c r="O667" s="9" t="str">
        <f t="shared" si="42"/>
        <v>أبريل</v>
      </c>
      <c r="P667" s="7" t="str">
        <f t="shared" si="43"/>
        <v>راتب طبيعي</v>
      </c>
    </row>
    <row r="668" spans="1:16" x14ac:dyDescent="0.3">
      <c r="A668" s="7">
        <v>53249</v>
      </c>
      <c r="B668" s="7" t="s">
        <v>1369</v>
      </c>
      <c r="C668" s="7" t="s">
        <v>1370</v>
      </c>
      <c r="D668" s="7" t="s">
        <v>30</v>
      </c>
      <c r="E668" s="7" t="s">
        <v>17</v>
      </c>
      <c r="F668" s="8">
        <v>34488</v>
      </c>
      <c r="G668" s="7">
        <f t="shared" ca="1" si="40"/>
        <v>31.927777777777777</v>
      </c>
      <c r="H668" s="7" t="s">
        <v>18</v>
      </c>
      <c r="I668" s="7" t="s">
        <v>25</v>
      </c>
      <c r="J668" s="7" t="s">
        <v>20</v>
      </c>
      <c r="K668" s="7" t="s">
        <v>26</v>
      </c>
      <c r="L668" s="8">
        <v>45390</v>
      </c>
      <c r="M668" s="7">
        <f t="shared" ca="1" si="41"/>
        <v>2.0805555555555557</v>
      </c>
      <c r="N668" s="7">
        <v>6767</v>
      </c>
      <c r="O668" s="7" t="str">
        <f t="shared" si="42"/>
        <v>أبريل</v>
      </c>
      <c r="P668" s="7" t="str">
        <f t="shared" si="43"/>
        <v>راتب طبيعي</v>
      </c>
    </row>
    <row r="669" spans="1:16" x14ac:dyDescent="0.3">
      <c r="A669" s="9">
        <v>52374</v>
      </c>
      <c r="B669" s="9" t="s">
        <v>1371</v>
      </c>
      <c r="C669" s="9" t="s">
        <v>1372</v>
      </c>
      <c r="D669" s="9" t="s">
        <v>66</v>
      </c>
      <c r="E669" s="9" t="s">
        <v>17</v>
      </c>
      <c r="F669" s="10">
        <v>37950</v>
      </c>
      <c r="G669" s="7">
        <f t="shared" ca="1" si="40"/>
        <v>22.45</v>
      </c>
      <c r="H669" s="9" t="s">
        <v>18</v>
      </c>
      <c r="I669" s="9" t="s">
        <v>25</v>
      </c>
      <c r="J669" s="9" t="s">
        <v>31</v>
      </c>
      <c r="K669" s="9" t="s">
        <v>31</v>
      </c>
      <c r="L669" s="10">
        <v>45391</v>
      </c>
      <c r="M669" s="9">
        <f t="shared" ca="1" si="41"/>
        <v>2.0777777777777779</v>
      </c>
      <c r="N669" s="9">
        <v>4677</v>
      </c>
      <c r="O669" s="9" t="str">
        <f t="shared" si="42"/>
        <v>أبريل</v>
      </c>
      <c r="P669" s="7" t="str">
        <f t="shared" si="43"/>
        <v>راتب عالي</v>
      </c>
    </row>
    <row r="670" spans="1:16" x14ac:dyDescent="0.3">
      <c r="A670" s="7">
        <v>54188</v>
      </c>
      <c r="B670" s="7" t="s">
        <v>1373</v>
      </c>
      <c r="C670" s="7" t="s">
        <v>1374</v>
      </c>
      <c r="D670" s="7" t="s">
        <v>40</v>
      </c>
      <c r="E670" s="7" t="s">
        <v>35</v>
      </c>
      <c r="F670" s="8">
        <v>37452</v>
      </c>
      <c r="G670" s="7">
        <f t="shared" ca="1" si="40"/>
        <v>23.81111111111111</v>
      </c>
      <c r="H670" s="7" t="s">
        <v>36</v>
      </c>
      <c r="I670" s="7" t="s">
        <v>25</v>
      </c>
      <c r="J670" s="7" t="s">
        <v>20</v>
      </c>
      <c r="K670" s="7" t="s">
        <v>37</v>
      </c>
      <c r="L670" s="8">
        <v>45392</v>
      </c>
      <c r="M670" s="7">
        <f t="shared" ca="1" si="41"/>
        <v>2.0750000000000002</v>
      </c>
      <c r="N670" s="7">
        <v>4211</v>
      </c>
      <c r="O670" s="7" t="str">
        <f t="shared" si="42"/>
        <v>أبريل</v>
      </c>
      <c r="P670" s="7" t="str">
        <f t="shared" si="43"/>
        <v>راتب عالي</v>
      </c>
    </row>
    <row r="671" spans="1:16" x14ac:dyDescent="0.3">
      <c r="A671" s="9">
        <v>54027</v>
      </c>
      <c r="B671" s="9" t="s">
        <v>1375</v>
      </c>
      <c r="C671" s="9" t="s">
        <v>1376</v>
      </c>
      <c r="D671" s="9" t="s">
        <v>40</v>
      </c>
      <c r="E671" s="9" t="s">
        <v>35</v>
      </c>
      <c r="F671" s="10">
        <v>34742</v>
      </c>
      <c r="G671" s="7">
        <f t="shared" ca="1" si="40"/>
        <v>31.236111111111111</v>
      </c>
      <c r="H671" s="9" t="s">
        <v>36</v>
      </c>
      <c r="I671" s="9" t="s">
        <v>46</v>
      </c>
      <c r="J671" s="9" t="s">
        <v>20</v>
      </c>
      <c r="K671" s="9" t="s">
        <v>26</v>
      </c>
      <c r="L671" s="10">
        <v>45393</v>
      </c>
      <c r="M671" s="9">
        <f t="shared" ca="1" si="41"/>
        <v>2.0722222222222224</v>
      </c>
      <c r="N671" s="9">
        <v>14570</v>
      </c>
      <c r="O671" s="9" t="str">
        <f t="shared" si="42"/>
        <v>أبريل</v>
      </c>
      <c r="P671" s="7" t="str">
        <f t="shared" si="43"/>
        <v>راتب طبيعي</v>
      </c>
    </row>
    <row r="672" spans="1:16" x14ac:dyDescent="0.3">
      <c r="A672" s="7">
        <v>50576</v>
      </c>
      <c r="B672" s="7" t="s">
        <v>1377</v>
      </c>
      <c r="C672" s="7" t="s">
        <v>1378</v>
      </c>
      <c r="D672" s="7" t="s">
        <v>40</v>
      </c>
      <c r="E672" s="7" t="s">
        <v>17</v>
      </c>
      <c r="F672" s="8">
        <v>30738</v>
      </c>
      <c r="G672" s="7">
        <f t="shared" ca="1" si="40"/>
        <v>42.197222222222223</v>
      </c>
      <c r="H672" s="7" t="s">
        <v>18</v>
      </c>
      <c r="I672" s="7" t="s">
        <v>25</v>
      </c>
      <c r="J672" s="7" t="s">
        <v>27</v>
      </c>
      <c r="K672" s="7" t="s">
        <v>20</v>
      </c>
      <c r="L672" s="8">
        <v>45394</v>
      </c>
      <c r="M672" s="7">
        <f t="shared" ca="1" si="41"/>
        <v>2.0694444444444446</v>
      </c>
      <c r="N672" s="7">
        <v>4392</v>
      </c>
      <c r="O672" s="7" t="str">
        <f t="shared" si="42"/>
        <v>أبريل</v>
      </c>
      <c r="P672" s="7" t="str">
        <f t="shared" si="43"/>
        <v>راتب عالي</v>
      </c>
    </row>
    <row r="673" spans="1:16" x14ac:dyDescent="0.3">
      <c r="A673" s="9">
        <v>58176</v>
      </c>
      <c r="B673" s="9" t="s">
        <v>1379</v>
      </c>
      <c r="C673" s="9" t="s">
        <v>1380</v>
      </c>
      <c r="D673" s="9" t="s">
        <v>40</v>
      </c>
      <c r="E673" s="9" t="s">
        <v>17</v>
      </c>
      <c r="F673" s="10">
        <v>34084</v>
      </c>
      <c r="G673" s="7">
        <f t="shared" ca="1" si="40"/>
        <v>33.033333333333331</v>
      </c>
      <c r="H673" s="9" t="s">
        <v>36</v>
      </c>
      <c r="I673" s="9" t="s">
        <v>25</v>
      </c>
      <c r="J673" s="9" t="s">
        <v>31</v>
      </c>
      <c r="K673" s="9" t="s">
        <v>20</v>
      </c>
      <c r="L673" s="10">
        <v>45395</v>
      </c>
      <c r="M673" s="9">
        <f t="shared" ca="1" si="41"/>
        <v>2.0666666666666669</v>
      </c>
      <c r="N673" s="9">
        <v>6286</v>
      </c>
      <c r="O673" s="9" t="str">
        <f t="shared" si="42"/>
        <v>أبريل</v>
      </c>
      <c r="P673" s="7" t="str">
        <f t="shared" si="43"/>
        <v>راتب طبيعي</v>
      </c>
    </row>
    <row r="674" spans="1:16" x14ac:dyDescent="0.3">
      <c r="A674" s="7">
        <v>52718</v>
      </c>
      <c r="B674" s="7" t="s">
        <v>1381</v>
      </c>
      <c r="C674" s="7" t="s">
        <v>1382</v>
      </c>
      <c r="D674" s="7" t="s">
        <v>40</v>
      </c>
      <c r="E674" s="7" t="s">
        <v>17</v>
      </c>
      <c r="F674" s="8">
        <v>34405</v>
      </c>
      <c r="G674" s="7">
        <f t="shared" ca="1" si="40"/>
        <v>32.152777777777779</v>
      </c>
      <c r="H674" s="7" t="s">
        <v>18</v>
      </c>
      <c r="I674" s="7" t="s">
        <v>25</v>
      </c>
      <c r="J674" s="7" t="s">
        <v>21</v>
      </c>
      <c r="K674" s="7" t="s">
        <v>26</v>
      </c>
      <c r="L674" s="8">
        <v>45396</v>
      </c>
      <c r="M674" s="7">
        <f t="shared" ca="1" si="41"/>
        <v>2.0638888888888891</v>
      </c>
      <c r="N674" s="7">
        <v>4535</v>
      </c>
      <c r="O674" s="7" t="str">
        <f t="shared" si="42"/>
        <v>أبريل</v>
      </c>
      <c r="P674" s="7" t="str">
        <f t="shared" si="43"/>
        <v>راتب عالي</v>
      </c>
    </row>
    <row r="675" spans="1:16" x14ac:dyDescent="0.3">
      <c r="A675" s="9">
        <v>59406</v>
      </c>
      <c r="B675" s="9" t="s">
        <v>1383</v>
      </c>
      <c r="C675" s="9" t="s">
        <v>1384</v>
      </c>
      <c r="D675" s="9" t="s">
        <v>95</v>
      </c>
      <c r="E675" s="9" t="s">
        <v>35</v>
      </c>
      <c r="F675" s="10">
        <v>32723</v>
      </c>
      <c r="G675" s="7">
        <f t="shared" ca="1" si="40"/>
        <v>36.761111111111113</v>
      </c>
      <c r="H675" s="9" t="s">
        <v>36</v>
      </c>
      <c r="I675" s="9" t="s">
        <v>19</v>
      </c>
      <c r="J675" s="9" t="s">
        <v>26</v>
      </c>
      <c r="K675" s="9" t="s">
        <v>20</v>
      </c>
      <c r="L675" s="10">
        <v>45397</v>
      </c>
      <c r="M675" s="9">
        <f t="shared" ca="1" si="41"/>
        <v>2.0611111111111109</v>
      </c>
      <c r="N675" s="9">
        <v>29539</v>
      </c>
      <c r="O675" s="9" t="str">
        <f t="shared" si="42"/>
        <v>أبريل</v>
      </c>
      <c r="P675" s="7" t="str">
        <f t="shared" si="43"/>
        <v>راتب طبيعي</v>
      </c>
    </row>
    <row r="676" spans="1:16" x14ac:dyDescent="0.3">
      <c r="A676" s="7">
        <v>59126</v>
      </c>
      <c r="B676" s="7" t="s">
        <v>1385</v>
      </c>
      <c r="C676" s="7" t="s">
        <v>1386</v>
      </c>
      <c r="D676" s="7" t="s">
        <v>66</v>
      </c>
      <c r="E676" s="7" t="s">
        <v>17</v>
      </c>
      <c r="F676" s="8">
        <v>30499</v>
      </c>
      <c r="G676" s="7">
        <f t="shared" ca="1" si="40"/>
        <v>42.847222222222221</v>
      </c>
      <c r="H676" s="7" t="s">
        <v>18</v>
      </c>
      <c r="I676" s="7" t="s">
        <v>25</v>
      </c>
      <c r="J676" s="7" t="s">
        <v>27</v>
      </c>
      <c r="K676" s="7" t="s">
        <v>37</v>
      </c>
      <c r="L676" s="8">
        <v>45398</v>
      </c>
      <c r="M676" s="7">
        <f t="shared" ca="1" si="41"/>
        <v>2.0583333333333331</v>
      </c>
      <c r="N676" s="7">
        <v>3162</v>
      </c>
      <c r="O676" s="7" t="str">
        <f t="shared" si="42"/>
        <v>أبريل</v>
      </c>
      <c r="P676" s="7" t="str">
        <f t="shared" si="43"/>
        <v>راتب عالي</v>
      </c>
    </row>
    <row r="677" spans="1:16" x14ac:dyDescent="0.3">
      <c r="A677" s="9">
        <v>52778</v>
      </c>
      <c r="B677" s="9" t="s">
        <v>1387</v>
      </c>
      <c r="C677" s="9" t="s">
        <v>1388</v>
      </c>
      <c r="D677" s="9" t="s">
        <v>146</v>
      </c>
      <c r="E677" s="9" t="s">
        <v>35</v>
      </c>
      <c r="F677" s="10">
        <v>37971</v>
      </c>
      <c r="G677" s="7">
        <f t="shared" ca="1" si="40"/>
        <v>22.391666666666666</v>
      </c>
      <c r="H677" s="9" t="s">
        <v>36</v>
      </c>
      <c r="I677" s="9" t="s">
        <v>25</v>
      </c>
      <c r="J677" s="9" t="s">
        <v>21</v>
      </c>
      <c r="K677" s="9" t="s">
        <v>37</v>
      </c>
      <c r="L677" s="10">
        <v>45399</v>
      </c>
      <c r="M677" s="9">
        <f t="shared" ca="1" si="41"/>
        <v>2.0555555555555554</v>
      </c>
      <c r="N677" s="9">
        <v>5843</v>
      </c>
      <c r="O677" s="9" t="str">
        <f t="shared" si="42"/>
        <v>أبريل</v>
      </c>
      <c r="P677" s="7" t="str">
        <f t="shared" si="43"/>
        <v>راتب عالي</v>
      </c>
    </row>
    <row r="678" spans="1:16" x14ac:dyDescent="0.3">
      <c r="A678" s="7">
        <v>58305</v>
      </c>
      <c r="B678" s="7" t="s">
        <v>1389</v>
      </c>
      <c r="C678" s="7" t="s">
        <v>1390</v>
      </c>
      <c r="D678" s="7" t="s">
        <v>43</v>
      </c>
      <c r="E678" s="7" t="s">
        <v>35</v>
      </c>
      <c r="F678" s="8">
        <v>31131</v>
      </c>
      <c r="G678" s="7">
        <f t="shared" ca="1" si="40"/>
        <v>41.116666666666667</v>
      </c>
      <c r="H678" s="7" t="s">
        <v>36</v>
      </c>
      <c r="I678" s="7" t="s">
        <v>25</v>
      </c>
      <c r="J678" s="7" t="s">
        <v>26</v>
      </c>
      <c r="K678" s="7" t="s">
        <v>31</v>
      </c>
      <c r="L678" s="8">
        <v>45400</v>
      </c>
      <c r="M678" s="7">
        <f t="shared" ca="1" si="41"/>
        <v>2.0527777777777776</v>
      </c>
      <c r="N678" s="7">
        <v>5990</v>
      </c>
      <c r="O678" s="7" t="str">
        <f t="shared" si="42"/>
        <v>أبريل</v>
      </c>
      <c r="P678" s="7" t="str">
        <f t="shared" si="43"/>
        <v>راتب طبيعي</v>
      </c>
    </row>
    <row r="679" spans="1:16" x14ac:dyDescent="0.3">
      <c r="A679" s="9">
        <v>53541</v>
      </c>
      <c r="B679" s="9" t="s">
        <v>1391</v>
      </c>
      <c r="C679" s="9" t="s">
        <v>1392</v>
      </c>
      <c r="D679" s="9" t="s">
        <v>34</v>
      </c>
      <c r="E679" s="9" t="s">
        <v>17</v>
      </c>
      <c r="F679" s="10">
        <v>32808</v>
      </c>
      <c r="G679" s="7">
        <f t="shared" ca="1" si="40"/>
        <v>36.527777777777779</v>
      </c>
      <c r="H679" s="9" t="s">
        <v>36</v>
      </c>
      <c r="I679" s="9" t="s">
        <v>25</v>
      </c>
      <c r="J679" s="9" t="s">
        <v>26</v>
      </c>
      <c r="K679" s="9" t="s">
        <v>37</v>
      </c>
      <c r="L679" s="10">
        <v>45401</v>
      </c>
      <c r="M679" s="9">
        <f t="shared" ca="1" si="41"/>
        <v>2.0499999999999998</v>
      </c>
      <c r="N679" s="9">
        <v>4556</v>
      </c>
      <c r="O679" s="9" t="str">
        <f t="shared" si="42"/>
        <v>أبريل</v>
      </c>
      <c r="P679" s="7" t="str">
        <f t="shared" si="43"/>
        <v>راتب عالي</v>
      </c>
    </row>
    <row r="680" spans="1:16" x14ac:dyDescent="0.3">
      <c r="A680" s="7">
        <v>57138</v>
      </c>
      <c r="B680" s="7" t="s">
        <v>1393</v>
      </c>
      <c r="C680" s="7" t="s">
        <v>1394</v>
      </c>
      <c r="D680" s="7" t="s">
        <v>40</v>
      </c>
      <c r="E680" s="7" t="s">
        <v>35</v>
      </c>
      <c r="F680" s="8">
        <v>34477</v>
      </c>
      <c r="G680" s="7">
        <f t="shared" ca="1" si="40"/>
        <v>31.955555555555556</v>
      </c>
      <c r="H680" s="7" t="s">
        <v>18</v>
      </c>
      <c r="I680" s="7" t="s">
        <v>25</v>
      </c>
      <c r="J680" s="7" t="s">
        <v>26</v>
      </c>
      <c r="K680" s="7" t="s">
        <v>20</v>
      </c>
      <c r="L680" s="8">
        <v>45402</v>
      </c>
      <c r="M680" s="7">
        <f t="shared" ca="1" si="41"/>
        <v>2.0472222222222221</v>
      </c>
      <c r="N680" s="7">
        <v>4154</v>
      </c>
      <c r="O680" s="7" t="str">
        <f t="shared" si="42"/>
        <v>أبريل</v>
      </c>
      <c r="P680" s="7" t="str">
        <f t="shared" si="43"/>
        <v>راتب عالي</v>
      </c>
    </row>
    <row r="681" spans="1:16" x14ac:dyDescent="0.3">
      <c r="A681" s="9">
        <v>51337</v>
      </c>
      <c r="B681" s="9" t="s">
        <v>1395</v>
      </c>
      <c r="C681" s="9" t="s">
        <v>1396</v>
      </c>
      <c r="D681" s="9" t="s">
        <v>16</v>
      </c>
      <c r="E681" s="9" t="s">
        <v>17</v>
      </c>
      <c r="F681" s="10">
        <v>33413</v>
      </c>
      <c r="G681" s="7">
        <f t="shared" ca="1" si="40"/>
        <v>34.869444444444447</v>
      </c>
      <c r="H681" s="9" t="s">
        <v>36</v>
      </c>
      <c r="I681" s="9" t="s">
        <v>19</v>
      </c>
      <c r="J681" s="9" t="s">
        <v>26</v>
      </c>
      <c r="K681" s="9" t="s">
        <v>31</v>
      </c>
      <c r="L681" s="10">
        <v>45403</v>
      </c>
      <c r="M681" s="9">
        <f t="shared" ca="1" si="41"/>
        <v>2.0444444444444443</v>
      </c>
      <c r="N681" s="9">
        <v>28431</v>
      </c>
      <c r="O681" s="9" t="str">
        <f t="shared" si="42"/>
        <v>أبريل</v>
      </c>
      <c r="P681" s="7" t="str">
        <f t="shared" si="43"/>
        <v>راتب طبيعي</v>
      </c>
    </row>
    <row r="682" spans="1:16" x14ac:dyDescent="0.3">
      <c r="A682" s="7">
        <v>58343</v>
      </c>
      <c r="B682" s="7" t="s">
        <v>1397</v>
      </c>
      <c r="C682" s="7" t="s">
        <v>1398</v>
      </c>
      <c r="D682" s="7" t="s">
        <v>53</v>
      </c>
      <c r="E682" s="7" t="s">
        <v>17</v>
      </c>
      <c r="F682" s="8">
        <v>37488</v>
      </c>
      <c r="G682" s="7">
        <f t="shared" ca="1" si="40"/>
        <v>23.713888888888889</v>
      </c>
      <c r="H682" s="7" t="s">
        <v>18</v>
      </c>
      <c r="I682" s="7" t="s">
        <v>25</v>
      </c>
      <c r="J682" s="7" t="s">
        <v>26</v>
      </c>
      <c r="K682" s="7" t="s">
        <v>26</v>
      </c>
      <c r="L682" s="8">
        <v>45404</v>
      </c>
      <c r="M682" s="7">
        <f t="shared" ca="1" si="41"/>
        <v>2.0416666666666665</v>
      </c>
      <c r="N682" s="7">
        <v>5341</v>
      </c>
      <c r="O682" s="7" t="str">
        <f t="shared" si="42"/>
        <v>أبريل</v>
      </c>
      <c r="P682" s="7" t="str">
        <f t="shared" si="43"/>
        <v>راتب عالي</v>
      </c>
    </row>
    <row r="683" spans="1:16" x14ac:dyDescent="0.3">
      <c r="A683" s="9">
        <v>55783</v>
      </c>
      <c r="B683" s="9" t="s">
        <v>1399</v>
      </c>
      <c r="C683" s="9" t="s">
        <v>1400</v>
      </c>
      <c r="D683" s="9" t="s">
        <v>146</v>
      </c>
      <c r="E683" s="9" t="s">
        <v>35</v>
      </c>
      <c r="F683" s="10">
        <v>32371</v>
      </c>
      <c r="G683" s="7">
        <f t="shared" ca="1" si="40"/>
        <v>37.725000000000001</v>
      </c>
      <c r="H683" s="9" t="s">
        <v>18</v>
      </c>
      <c r="I683" s="9" t="s">
        <v>46</v>
      </c>
      <c r="J683" s="9" t="s">
        <v>20</v>
      </c>
      <c r="K683" s="9" t="s">
        <v>27</v>
      </c>
      <c r="L683" s="10">
        <v>45405</v>
      </c>
      <c r="M683" s="9">
        <f t="shared" ca="1" si="41"/>
        <v>2.0388888888888888</v>
      </c>
      <c r="N683" s="9">
        <v>12685</v>
      </c>
      <c r="O683" s="9" t="str">
        <f t="shared" si="42"/>
        <v>أبريل</v>
      </c>
      <c r="P683" s="7" t="str">
        <f t="shared" si="43"/>
        <v>راتب طبيعي</v>
      </c>
    </row>
    <row r="684" spans="1:16" x14ac:dyDescent="0.3">
      <c r="A684" s="7">
        <v>53158</v>
      </c>
      <c r="B684" s="7" t="s">
        <v>1401</v>
      </c>
      <c r="C684" s="7" t="s">
        <v>1402</v>
      </c>
      <c r="D684" s="7" t="s">
        <v>95</v>
      </c>
      <c r="E684" s="7" t="s">
        <v>35</v>
      </c>
      <c r="F684" s="8">
        <v>35947</v>
      </c>
      <c r="G684" s="7">
        <f t="shared" ca="1" si="40"/>
        <v>27.933333333333334</v>
      </c>
      <c r="H684" s="7" t="s">
        <v>18</v>
      </c>
      <c r="I684" s="7" t="s">
        <v>25</v>
      </c>
      <c r="J684" s="7" t="s">
        <v>31</v>
      </c>
      <c r="K684" s="7" t="s">
        <v>26</v>
      </c>
      <c r="L684" s="8">
        <v>45406</v>
      </c>
      <c r="M684" s="7">
        <f t="shared" ca="1" si="41"/>
        <v>2.036111111111111</v>
      </c>
      <c r="N684" s="7">
        <v>5785</v>
      </c>
      <c r="O684" s="7" t="str">
        <f t="shared" si="42"/>
        <v>أبريل</v>
      </c>
      <c r="P684" s="7" t="str">
        <f t="shared" si="43"/>
        <v>راتب عالي</v>
      </c>
    </row>
    <row r="685" spans="1:16" x14ac:dyDescent="0.3">
      <c r="A685" s="9">
        <v>51472</v>
      </c>
      <c r="B685" s="9" t="s">
        <v>1403</v>
      </c>
      <c r="C685" s="9" t="s">
        <v>1404</v>
      </c>
      <c r="D685" s="9" t="s">
        <v>16</v>
      </c>
      <c r="E685" s="9" t="s">
        <v>17</v>
      </c>
      <c r="F685" s="10">
        <v>30103</v>
      </c>
      <c r="G685" s="7">
        <f t="shared" ca="1" si="40"/>
        <v>43.93333333333333</v>
      </c>
      <c r="H685" s="9" t="s">
        <v>36</v>
      </c>
      <c r="I685" s="9" t="s">
        <v>25</v>
      </c>
      <c r="J685" s="9" t="s">
        <v>20</v>
      </c>
      <c r="K685" s="9" t="s">
        <v>26</v>
      </c>
      <c r="L685" s="10">
        <v>45407</v>
      </c>
      <c r="M685" s="9">
        <f t="shared" ca="1" si="41"/>
        <v>2.0333333333333332</v>
      </c>
      <c r="N685" s="9">
        <v>3371</v>
      </c>
      <c r="O685" s="9" t="str">
        <f t="shared" si="42"/>
        <v>أبريل</v>
      </c>
      <c r="P685" s="7" t="str">
        <f t="shared" si="43"/>
        <v>راتب عالي</v>
      </c>
    </row>
    <row r="686" spans="1:16" x14ac:dyDescent="0.3">
      <c r="A686" s="7">
        <v>52786</v>
      </c>
      <c r="B686" s="7" t="s">
        <v>1405</v>
      </c>
      <c r="C686" s="7" t="s">
        <v>1406</v>
      </c>
      <c r="D686" s="7" t="s">
        <v>16</v>
      </c>
      <c r="E686" s="7" t="s">
        <v>17</v>
      </c>
      <c r="F686" s="8">
        <v>36147</v>
      </c>
      <c r="G686" s="7">
        <f t="shared" ca="1" si="40"/>
        <v>27.386111111111113</v>
      </c>
      <c r="H686" s="7" t="s">
        <v>36</v>
      </c>
      <c r="I686" s="7" t="s">
        <v>19</v>
      </c>
      <c r="J686" s="7" t="s">
        <v>31</v>
      </c>
      <c r="K686" s="7" t="s">
        <v>20</v>
      </c>
      <c r="L686" s="8">
        <v>45408</v>
      </c>
      <c r="M686" s="7">
        <f t="shared" ca="1" si="41"/>
        <v>2.0305555555555554</v>
      </c>
      <c r="N686" s="7">
        <v>17109</v>
      </c>
      <c r="O686" s="7" t="str">
        <f t="shared" si="42"/>
        <v>أبريل</v>
      </c>
      <c r="P686" s="7" t="str">
        <f t="shared" si="43"/>
        <v>راتب طبيعي</v>
      </c>
    </row>
    <row r="687" spans="1:16" x14ac:dyDescent="0.3">
      <c r="A687" s="9">
        <v>55052</v>
      </c>
      <c r="B687" s="9" t="s">
        <v>1407</v>
      </c>
      <c r="C687" s="9" t="s">
        <v>1408</v>
      </c>
      <c r="D687" s="9" t="s">
        <v>34</v>
      </c>
      <c r="E687" s="9" t="s">
        <v>17</v>
      </c>
      <c r="F687" s="10">
        <v>32960</v>
      </c>
      <c r="G687" s="7">
        <f t="shared" ca="1" si="40"/>
        <v>36.108333333333334</v>
      </c>
      <c r="H687" s="9" t="s">
        <v>36</v>
      </c>
      <c r="I687" s="9" t="s">
        <v>25</v>
      </c>
      <c r="J687" s="9" t="s">
        <v>21</v>
      </c>
      <c r="K687" s="9" t="s">
        <v>27</v>
      </c>
      <c r="L687" s="10">
        <v>45409</v>
      </c>
      <c r="M687" s="9">
        <f t="shared" ca="1" si="41"/>
        <v>2.0277777777777777</v>
      </c>
      <c r="N687" s="9">
        <v>3087</v>
      </c>
      <c r="O687" s="9" t="str">
        <f t="shared" si="42"/>
        <v>أبريل</v>
      </c>
      <c r="P687" s="7" t="str">
        <f t="shared" si="43"/>
        <v>راتب عالي</v>
      </c>
    </row>
    <row r="688" spans="1:16" x14ac:dyDescent="0.3">
      <c r="A688" s="7">
        <v>52277</v>
      </c>
      <c r="B688" s="7" t="s">
        <v>1409</v>
      </c>
      <c r="C688" s="7" t="s">
        <v>1410</v>
      </c>
      <c r="D688" s="7" t="s">
        <v>66</v>
      </c>
      <c r="E688" s="7" t="s">
        <v>35</v>
      </c>
      <c r="F688" s="8">
        <v>34154</v>
      </c>
      <c r="G688" s="7">
        <f t="shared" ca="1" si="40"/>
        <v>32.841666666666669</v>
      </c>
      <c r="H688" s="7" t="s">
        <v>18</v>
      </c>
      <c r="I688" s="7" t="s">
        <v>19</v>
      </c>
      <c r="J688" s="7" t="s">
        <v>20</v>
      </c>
      <c r="K688" s="7" t="s">
        <v>26</v>
      </c>
      <c r="L688" s="8">
        <v>45410</v>
      </c>
      <c r="M688" s="7">
        <f t="shared" ca="1" si="41"/>
        <v>2.0249999999999999</v>
      </c>
      <c r="N688" s="7">
        <v>15284</v>
      </c>
      <c r="O688" s="7" t="str">
        <f t="shared" si="42"/>
        <v>أبريل</v>
      </c>
      <c r="P688" s="7" t="str">
        <f t="shared" si="43"/>
        <v>راتب طبيعي</v>
      </c>
    </row>
    <row r="689" spans="1:16" x14ac:dyDescent="0.3">
      <c r="A689" s="9">
        <v>51886</v>
      </c>
      <c r="B689" s="9" t="s">
        <v>1411</v>
      </c>
      <c r="C689" s="9" t="s">
        <v>1412</v>
      </c>
      <c r="D689" s="9" t="s">
        <v>40</v>
      </c>
      <c r="E689" s="9" t="s">
        <v>35</v>
      </c>
      <c r="F689" s="10">
        <v>34028</v>
      </c>
      <c r="G689" s="7">
        <f t="shared" ca="1" si="40"/>
        <v>33.18611111111111</v>
      </c>
      <c r="H689" s="9" t="s">
        <v>36</v>
      </c>
      <c r="I689" s="9" t="s">
        <v>25</v>
      </c>
      <c r="J689" s="9" t="s">
        <v>26</v>
      </c>
      <c r="K689" s="9" t="s">
        <v>31</v>
      </c>
      <c r="L689" s="10">
        <v>45411</v>
      </c>
      <c r="M689" s="9">
        <f t="shared" ca="1" si="41"/>
        <v>2.0222222222222221</v>
      </c>
      <c r="N689" s="9">
        <v>3956</v>
      </c>
      <c r="O689" s="9" t="str">
        <f t="shared" si="42"/>
        <v>أبريل</v>
      </c>
      <c r="P689" s="7" t="str">
        <f t="shared" si="43"/>
        <v>راتب عالي</v>
      </c>
    </row>
    <row r="690" spans="1:16" x14ac:dyDescent="0.3">
      <c r="A690" s="7">
        <v>53677</v>
      </c>
      <c r="B690" s="7" t="s">
        <v>1413</v>
      </c>
      <c r="C690" s="7" t="s">
        <v>1414</v>
      </c>
      <c r="D690" s="7" t="s">
        <v>95</v>
      </c>
      <c r="E690" s="7" t="s">
        <v>17</v>
      </c>
      <c r="F690" s="8">
        <v>34506</v>
      </c>
      <c r="G690" s="7">
        <f t="shared" ca="1" si="40"/>
        <v>31.877777777777776</v>
      </c>
      <c r="H690" s="7" t="s">
        <v>36</v>
      </c>
      <c r="I690" s="7" t="s">
        <v>25</v>
      </c>
      <c r="J690" s="7" t="s">
        <v>21</v>
      </c>
      <c r="K690" s="7" t="s">
        <v>27</v>
      </c>
      <c r="L690" s="8">
        <v>45412</v>
      </c>
      <c r="M690" s="7">
        <f t="shared" ca="1" si="41"/>
        <v>2.0194444444444444</v>
      </c>
      <c r="N690" s="7">
        <v>3770</v>
      </c>
      <c r="O690" s="7" t="str">
        <f t="shared" si="42"/>
        <v>أبريل</v>
      </c>
      <c r="P690" s="7" t="str">
        <f t="shared" si="43"/>
        <v>راتب عالي</v>
      </c>
    </row>
    <row r="691" spans="1:16" x14ac:dyDescent="0.3">
      <c r="A691" s="9">
        <v>56343</v>
      </c>
      <c r="B691" s="9" t="s">
        <v>1415</v>
      </c>
      <c r="C691" s="9" t="s">
        <v>1416</v>
      </c>
      <c r="D691" s="9" t="s">
        <v>43</v>
      </c>
      <c r="E691" s="9" t="s">
        <v>35</v>
      </c>
      <c r="F691" s="10">
        <v>32122</v>
      </c>
      <c r="G691" s="7">
        <f t="shared" ca="1" si="40"/>
        <v>38.405555555555559</v>
      </c>
      <c r="H691" s="9" t="s">
        <v>36</v>
      </c>
      <c r="I691" s="9" t="s">
        <v>25</v>
      </c>
      <c r="J691" s="9" t="s">
        <v>31</v>
      </c>
      <c r="K691" s="9" t="s">
        <v>27</v>
      </c>
      <c r="L691" s="10">
        <v>45413</v>
      </c>
      <c r="M691" s="9">
        <f t="shared" ca="1" si="41"/>
        <v>2.0166666666666666</v>
      </c>
      <c r="N691" s="9">
        <v>3353</v>
      </c>
      <c r="O691" s="9" t="str">
        <f t="shared" si="42"/>
        <v>مايو</v>
      </c>
      <c r="P691" s="7" t="str">
        <f t="shared" si="43"/>
        <v>راتب عالي</v>
      </c>
    </row>
    <row r="692" spans="1:16" x14ac:dyDescent="0.3">
      <c r="A692" s="7">
        <v>59282</v>
      </c>
      <c r="B692" s="7" t="s">
        <v>1417</v>
      </c>
      <c r="C692" s="7" t="s">
        <v>1418</v>
      </c>
      <c r="D692" s="7" t="s">
        <v>146</v>
      </c>
      <c r="E692" s="7" t="s">
        <v>35</v>
      </c>
      <c r="F692" s="8">
        <v>33619</v>
      </c>
      <c r="G692" s="7">
        <f t="shared" ca="1" si="40"/>
        <v>34.30833333333333</v>
      </c>
      <c r="H692" s="7" t="s">
        <v>36</v>
      </c>
      <c r="I692" s="7" t="s">
        <v>25</v>
      </c>
      <c r="J692" s="7" t="s">
        <v>20</v>
      </c>
      <c r="K692" s="7" t="s">
        <v>27</v>
      </c>
      <c r="L692" s="8">
        <v>45414</v>
      </c>
      <c r="M692" s="7">
        <f t="shared" ca="1" si="41"/>
        <v>2.0138888888888888</v>
      </c>
      <c r="N692" s="7">
        <v>3287</v>
      </c>
      <c r="O692" s="7" t="str">
        <f t="shared" si="42"/>
        <v>مايو</v>
      </c>
      <c r="P692" s="7" t="str">
        <f t="shared" si="43"/>
        <v>راتب عالي</v>
      </c>
    </row>
    <row r="693" spans="1:16" x14ac:dyDescent="0.3">
      <c r="A693" s="9">
        <v>59522</v>
      </c>
      <c r="B693" s="9" t="s">
        <v>1419</v>
      </c>
      <c r="C693" s="9" t="s">
        <v>1420</v>
      </c>
      <c r="D693" s="9" t="s">
        <v>40</v>
      </c>
      <c r="E693" s="9" t="s">
        <v>17</v>
      </c>
      <c r="F693" s="10">
        <v>32448</v>
      </c>
      <c r="G693" s="7">
        <f t="shared" ca="1" si="40"/>
        <v>37.516666666666666</v>
      </c>
      <c r="H693" s="9" t="s">
        <v>36</v>
      </c>
      <c r="I693" s="9" t="s">
        <v>25</v>
      </c>
      <c r="J693" s="9" t="s">
        <v>27</v>
      </c>
      <c r="K693" s="9" t="s">
        <v>37</v>
      </c>
      <c r="L693" s="10">
        <v>45415</v>
      </c>
      <c r="M693" s="9">
        <f t="shared" ca="1" si="41"/>
        <v>2.0111111111111111</v>
      </c>
      <c r="N693" s="9">
        <v>3961</v>
      </c>
      <c r="O693" s="9" t="str">
        <f t="shared" si="42"/>
        <v>مايو</v>
      </c>
      <c r="P693" s="7" t="str">
        <f t="shared" si="43"/>
        <v>راتب عالي</v>
      </c>
    </row>
    <row r="694" spans="1:16" x14ac:dyDescent="0.3">
      <c r="A694" s="7">
        <v>52393</v>
      </c>
      <c r="B694" s="7" t="s">
        <v>1421</v>
      </c>
      <c r="C694" s="7" t="s">
        <v>1422</v>
      </c>
      <c r="D694" s="7" t="s">
        <v>95</v>
      </c>
      <c r="E694" s="7" t="s">
        <v>35</v>
      </c>
      <c r="F694" s="8">
        <v>30444</v>
      </c>
      <c r="G694" s="7">
        <f t="shared" ca="1" si="40"/>
        <v>42.99722222222222</v>
      </c>
      <c r="H694" s="7" t="s">
        <v>36</v>
      </c>
      <c r="I694" s="7" t="s">
        <v>46</v>
      </c>
      <c r="J694" s="7" t="s">
        <v>26</v>
      </c>
      <c r="K694" s="7" t="s">
        <v>27</v>
      </c>
      <c r="L694" s="8">
        <v>45416</v>
      </c>
      <c r="M694" s="7">
        <f t="shared" ca="1" si="41"/>
        <v>2.0083333333333333</v>
      </c>
      <c r="N694" s="7">
        <v>11611</v>
      </c>
      <c r="O694" s="7" t="str">
        <f t="shared" si="42"/>
        <v>مايو</v>
      </c>
      <c r="P694" s="7" t="str">
        <f t="shared" si="43"/>
        <v>راتب طبيعي</v>
      </c>
    </row>
    <row r="695" spans="1:16" x14ac:dyDescent="0.3">
      <c r="A695" s="9">
        <v>58890</v>
      </c>
      <c r="B695" s="9" t="s">
        <v>1423</v>
      </c>
      <c r="C695" s="9" t="s">
        <v>1424</v>
      </c>
      <c r="D695" s="9" t="s">
        <v>53</v>
      </c>
      <c r="E695" s="9" t="s">
        <v>35</v>
      </c>
      <c r="F695" s="10">
        <v>37149</v>
      </c>
      <c r="G695" s="7">
        <f t="shared" ca="1" si="40"/>
        <v>24.644444444444446</v>
      </c>
      <c r="H695" s="9" t="s">
        <v>18</v>
      </c>
      <c r="I695" s="9" t="s">
        <v>25</v>
      </c>
      <c r="J695" s="9" t="s">
        <v>26</v>
      </c>
      <c r="K695" s="9" t="s">
        <v>20</v>
      </c>
      <c r="L695" s="10">
        <v>45417</v>
      </c>
      <c r="M695" s="9">
        <f t="shared" ca="1" si="41"/>
        <v>2.0055555555555555</v>
      </c>
      <c r="N695" s="9">
        <v>4795</v>
      </c>
      <c r="O695" s="9" t="str">
        <f t="shared" si="42"/>
        <v>مايو</v>
      </c>
      <c r="P695" s="7" t="str">
        <f t="shared" si="43"/>
        <v>راتب عالي</v>
      </c>
    </row>
    <row r="696" spans="1:16" x14ac:dyDescent="0.3">
      <c r="A696" s="7">
        <v>58993</v>
      </c>
      <c r="B696" s="7" t="s">
        <v>1425</v>
      </c>
      <c r="C696" s="7" t="s">
        <v>1426</v>
      </c>
      <c r="D696" s="7" t="s">
        <v>66</v>
      </c>
      <c r="E696" s="7" t="s">
        <v>17</v>
      </c>
      <c r="F696" s="8">
        <v>31466</v>
      </c>
      <c r="G696" s="7">
        <f t="shared" ca="1" si="40"/>
        <v>40.205555555555556</v>
      </c>
      <c r="H696" s="7" t="s">
        <v>18</v>
      </c>
      <c r="I696" s="7" t="s">
        <v>25</v>
      </c>
      <c r="J696" s="7" t="s">
        <v>21</v>
      </c>
      <c r="K696" s="7" t="s">
        <v>27</v>
      </c>
      <c r="L696" s="8">
        <v>45418</v>
      </c>
      <c r="M696" s="7">
        <f t="shared" ca="1" si="41"/>
        <v>2.0027777777777778</v>
      </c>
      <c r="N696" s="7">
        <v>6002</v>
      </c>
      <c r="O696" s="7" t="str">
        <f t="shared" si="42"/>
        <v>مايو</v>
      </c>
      <c r="P696" s="7" t="str">
        <f t="shared" si="43"/>
        <v>راتب طبيعي</v>
      </c>
    </row>
    <row r="697" spans="1:16" x14ac:dyDescent="0.3">
      <c r="A697" s="9">
        <v>51810</v>
      </c>
      <c r="B697" s="9" t="s">
        <v>1427</v>
      </c>
      <c r="C697" s="9" t="s">
        <v>1428</v>
      </c>
      <c r="D697" s="9" t="s">
        <v>40</v>
      </c>
      <c r="E697" s="9" t="s">
        <v>17</v>
      </c>
      <c r="F697" s="10">
        <v>37106</v>
      </c>
      <c r="G697" s="7">
        <f t="shared" ca="1" si="40"/>
        <v>24.761111111111113</v>
      </c>
      <c r="H697" s="9" t="s">
        <v>36</v>
      </c>
      <c r="I697" s="9" t="s">
        <v>25</v>
      </c>
      <c r="J697" s="9" t="s">
        <v>21</v>
      </c>
      <c r="K697" s="9" t="s">
        <v>31</v>
      </c>
      <c r="L697" s="10">
        <v>45419</v>
      </c>
      <c r="M697" s="9">
        <f t="shared" ca="1" si="41"/>
        <v>2</v>
      </c>
      <c r="N697" s="9">
        <v>4655</v>
      </c>
      <c r="O697" s="9" t="str">
        <f t="shared" si="42"/>
        <v>مايو</v>
      </c>
      <c r="P697" s="7" t="str">
        <f t="shared" si="43"/>
        <v>راتب عالي</v>
      </c>
    </row>
    <row r="698" spans="1:16" x14ac:dyDescent="0.3">
      <c r="A698" s="7">
        <v>59241</v>
      </c>
      <c r="B698" s="7" t="s">
        <v>1429</v>
      </c>
      <c r="C698" s="7" t="s">
        <v>1430</v>
      </c>
      <c r="D698" s="7" t="s">
        <v>40</v>
      </c>
      <c r="E698" s="7" t="s">
        <v>17</v>
      </c>
      <c r="F698" s="8">
        <v>31124</v>
      </c>
      <c r="G698" s="7">
        <f t="shared" ca="1" si="40"/>
        <v>41.136111111111113</v>
      </c>
      <c r="H698" s="7" t="s">
        <v>18</v>
      </c>
      <c r="I698" s="7" t="s">
        <v>25</v>
      </c>
      <c r="J698" s="7" t="s">
        <v>31</v>
      </c>
      <c r="K698" s="7" t="s">
        <v>27</v>
      </c>
      <c r="L698" s="8">
        <v>45420</v>
      </c>
      <c r="M698" s="7">
        <f t="shared" ca="1" si="41"/>
        <v>1.9972222222222222</v>
      </c>
      <c r="N698" s="7">
        <v>3949</v>
      </c>
      <c r="O698" s="7" t="str">
        <f t="shared" si="42"/>
        <v>مايو</v>
      </c>
      <c r="P698" s="7" t="str">
        <f t="shared" si="43"/>
        <v>راتب عالي</v>
      </c>
    </row>
    <row r="699" spans="1:16" x14ac:dyDescent="0.3">
      <c r="A699" s="9">
        <v>57846</v>
      </c>
      <c r="B699" s="9" t="s">
        <v>1431</v>
      </c>
      <c r="C699" s="9" t="s">
        <v>1432</v>
      </c>
      <c r="D699" s="9" t="s">
        <v>40</v>
      </c>
      <c r="E699" s="9" t="s">
        <v>35</v>
      </c>
      <c r="F699" s="10">
        <v>34899</v>
      </c>
      <c r="G699" s="7">
        <f t="shared" ca="1" si="40"/>
        <v>30.8</v>
      </c>
      <c r="H699" s="9" t="s">
        <v>36</v>
      </c>
      <c r="I699" s="9" t="s">
        <v>25</v>
      </c>
      <c r="J699" s="9" t="s">
        <v>20</v>
      </c>
      <c r="K699" s="9" t="s">
        <v>37</v>
      </c>
      <c r="L699" s="10">
        <v>45421</v>
      </c>
      <c r="M699" s="9">
        <f t="shared" ca="1" si="41"/>
        <v>1.9944444444444445</v>
      </c>
      <c r="N699" s="9">
        <v>5823</v>
      </c>
      <c r="O699" s="9" t="str">
        <f t="shared" si="42"/>
        <v>مايو</v>
      </c>
      <c r="P699" s="7" t="str">
        <f t="shared" si="43"/>
        <v>راتب عالي</v>
      </c>
    </row>
    <row r="700" spans="1:16" x14ac:dyDescent="0.3">
      <c r="A700" s="7">
        <v>52101</v>
      </c>
      <c r="B700" s="7" t="s">
        <v>1433</v>
      </c>
      <c r="C700" s="7" t="s">
        <v>1434</v>
      </c>
      <c r="D700" s="7" t="s">
        <v>16</v>
      </c>
      <c r="E700" s="7" t="s">
        <v>35</v>
      </c>
      <c r="F700" s="8">
        <v>30234</v>
      </c>
      <c r="G700" s="7">
        <f t="shared" ca="1" si="40"/>
        <v>43.575000000000003</v>
      </c>
      <c r="H700" s="7" t="s">
        <v>18</v>
      </c>
      <c r="I700" s="7" t="s">
        <v>46</v>
      </c>
      <c r="J700" s="7" t="s">
        <v>20</v>
      </c>
      <c r="K700" s="7" t="s">
        <v>37</v>
      </c>
      <c r="L700" s="8">
        <v>45422</v>
      </c>
      <c r="M700" s="7">
        <f t="shared" ca="1" si="41"/>
        <v>1.9916666666666667</v>
      </c>
      <c r="N700" s="7">
        <v>13275</v>
      </c>
      <c r="O700" s="7" t="str">
        <f t="shared" si="42"/>
        <v>مايو</v>
      </c>
      <c r="P700" s="7" t="str">
        <f t="shared" si="43"/>
        <v>راتب طبيعي</v>
      </c>
    </row>
    <row r="701" spans="1:16" x14ac:dyDescent="0.3">
      <c r="A701" s="9">
        <v>51586</v>
      </c>
      <c r="B701" s="9" t="s">
        <v>1435</v>
      </c>
      <c r="C701" s="9" t="s">
        <v>1436</v>
      </c>
      <c r="D701" s="9" t="s">
        <v>16</v>
      </c>
      <c r="E701" s="9" t="s">
        <v>35</v>
      </c>
      <c r="F701" s="10">
        <v>33439</v>
      </c>
      <c r="G701" s="7">
        <f t="shared" ca="1" si="40"/>
        <v>34.797222222222224</v>
      </c>
      <c r="H701" s="9" t="s">
        <v>18</v>
      </c>
      <c r="I701" s="9" t="s">
        <v>25</v>
      </c>
      <c r="J701" s="9" t="s">
        <v>26</v>
      </c>
      <c r="K701" s="9" t="s">
        <v>20</v>
      </c>
      <c r="L701" s="10">
        <v>45423</v>
      </c>
      <c r="M701" s="9">
        <f t="shared" ca="1" si="41"/>
        <v>1.9888888888888889</v>
      </c>
      <c r="N701" s="9">
        <v>3282</v>
      </c>
      <c r="O701" s="9" t="str">
        <f t="shared" si="42"/>
        <v>مايو</v>
      </c>
      <c r="P701" s="7" t="str">
        <f t="shared" si="43"/>
        <v>راتب عالي</v>
      </c>
    </row>
    <row r="702" spans="1:16" x14ac:dyDescent="0.3">
      <c r="A702" s="7">
        <v>58381</v>
      </c>
      <c r="B702" s="7" t="s">
        <v>1437</v>
      </c>
      <c r="C702" s="7" t="s">
        <v>1438</v>
      </c>
      <c r="D702" s="7" t="s">
        <v>43</v>
      </c>
      <c r="E702" s="7" t="s">
        <v>17</v>
      </c>
      <c r="F702" s="8">
        <v>30634</v>
      </c>
      <c r="G702" s="7">
        <f t="shared" ca="1" si="40"/>
        <v>42.480555555555554</v>
      </c>
      <c r="H702" s="7" t="s">
        <v>18</v>
      </c>
      <c r="I702" s="7" t="s">
        <v>25</v>
      </c>
      <c r="J702" s="7" t="s">
        <v>26</v>
      </c>
      <c r="K702" s="7" t="s">
        <v>27</v>
      </c>
      <c r="L702" s="8">
        <v>45424</v>
      </c>
      <c r="M702" s="7">
        <f t="shared" ca="1" si="41"/>
        <v>1.9861111111111112</v>
      </c>
      <c r="N702" s="7">
        <v>5900</v>
      </c>
      <c r="O702" s="7" t="str">
        <f t="shared" si="42"/>
        <v>مايو</v>
      </c>
      <c r="P702" s="7" t="str">
        <f t="shared" si="43"/>
        <v>راتب عالي</v>
      </c>
    </row>
    <row r="703" spans="1:16" x14ac:dyDescent="0.3">
      <c r="A703" s="9">
        <v>50962</v>
      </c>
      <c r="B703" s="9" t="s">
        <v>1439</v>
      </c>
      <c r="C703" s="9" t="s">
        <v>1440</v>
      </c>
      <c r="D703" s="9" t="s">
        <v>53</v>
      </c>
      <c r="E703" s="9" t="s">
        <v>17</v>
      </c>
      <c r="F703" s="10">
        <v>32066</v>
      </c>
      <c r="G703" s="7">
        <f t="shared" ca="1" si="40"/>
        <v>38.55833333333333</v>
      </c>
      <c r="H703" s="9" t="s">
        <v>18</v>
      </c>
      <c r="I703" s="9" t="s">
        <v>25</v>
      </c>
      <c r="J703" s="9" t="s">
        <v>20</v>
      </c>
      <c r="K703" s="9" t="s">
        <v>20</v>
      </c>
      <c r="L703" s="10">
        <v>45425</v>
      </c>
      <c r="M703" s="9">
        <f t="shared" ca="1" si="41"/>
        <v>1.9833333333333334</v>
      </c>
      <c r="N703" s="9">
        <v>3202</v>
      </c>
      <c r="O703" s="9" t="str">
        <f t="shared" si="42"/>
        <v>مايو</v>
      </c>
      <c r="P703" s="7" t="str">
        <f t="shared" si="43"/>
        <v>راتب عالي</v>
      </c>
    </row>
    <row r="704" spans="1:16" x14ac:dyDescent="0.3">
      <c r="A704" s="7">
        <v>57239</v>
      </c>
      <c r="B704" s="7" t="s">
        <v>1441</v>
      </c>
      <c r="C704" s="7" t="s">
        <v>1442</v>
      </c>
      <c r="D704" s="7" t="s">
        <v>146</v>
      </c>
      <c r="E704" s="7" t="s">
        <v>35</v>
      </c>
      <c r="F704" s="8">
        <v>32648</v>
      </c>
      <c r="G704" s="7">
        <f t="shared" ca="1" si="40"/>
        <v>36.963888888888889</v>
      </c>
      <c r="H704" s="7" t="s">
        <v>18</v>
      </c>
      <c r="I704" s="7" t="s">
        <v>25</v>
      </c>
      <c r="J704" s="7" t="s">
        <v>27</v>
      </c>
      <c r="K704" s="7" t="s">
        <v>26</v>
      </c>
      <c r="L704" s="8">
        <v>45426</v>
      </c>
      <c r="M704" s="7">
        <f t="shared" ca="1" si="41"/>
        <v>1.9805555555555556</v>
      </c>
      <c r="N704" s="7">
        <v>4962</v>
      </c>
      <c r="O704" s="7" t="str">
        <f t="shared" si="42"/>
        <v>مايو</v>
      </c>
      <c r="P704" s="7" t="str">
        <f t="shared" si="43"/>
        <v>راتب عالي</v>
      </c>
    </row>
    <row r="705" spans="1:16" x14ac:dyDescent="0.3">
      <c r="A705" s="9">
        <v>56374</v>
      </c>
      <c r="B705" s="9" t="s">
        <v>1443</v>
      </c>
      <c r="C705" s="9" t="s">
        <v>1444</v>
      </c>
      <c r="D705" s="9" t="s">
        <v>34</v>
      </c>
      <c r="E705" s="9" t="s">
        <v>17</v>
      </c>
      <c r="F705" s="10">
        <v>30118</v>
      </c>
      <c r="G705" s="7">
        <f t="shared" ca="1" si="40"/>
        <v>43.891666666666666</v>
      </c>
      <c r="H705" s="9" t="s">
        <v>36</v>
      </c>
      <c r="I705" s="9" t="s">
        <v>46</v>
      </c>
      <c r="J705" s="9" t="s">
        <v>26</v>
      </c>
      <c r="K705" s="9" t="s">
        <v>27</v>
      </c>
      <c r="L705" s="10">
        <v>45427</v>
      </c>
      <c r="M705" s="9">
        <f t="shared" ca="1" si="41"/>
        <v>1.9777777777777779</v>
      </c>
      <c r="N705" s="9">
        <v>12709</v>
      </c>
      <c r="O705" s="9" t="str">
        <f t="shared" si="42"/>
        <v>مايو</v>
      </c>
      <c r="P705" s="7" t="str">
        <f t="shared" si="43"/>
        <v>راتب طبيعي</v>
      </c>
    </row>
    <row r="706" spans="1:16" x14ac:dyDescent="0.3">
      <c r="A706" s="7">
        <v>55283</v>
      </c>
      <c r="B706" s="7" t="s">
        <v>1445</v>
      </c>
      <c r="C706" s="7" t="s">
        <v>1446</v>
      </c>
      <c r="D706" s="7" t="s">
        <v>66</v>
      </c>
      <c r="E706" s="7" t="s">
        <v>35</v>
      </c>
      <c r="F706" s="8">
        <v>33701</v>
      </c>
      <c r="G706" s="7">
        <f t="shared" ca="1" si="40"/>
        <v>34.083333333333336</v>
      </c>
      <c r="H706" s="7" t="s">
        <v>18</v>
      </c>
      <c r="I706" s="7" t="s">
        <v>25</v>
      </c>
      <c r="J706" s="7" t="s">
        <v>21</v>
      </c>
      <c r="K706" s="7" t="s">
        <v>27</v>
      </c>
      <c r="L706" s="8">
        <v>45428</v>
      </c>
      <c r="M706" s="7">
        <f t="shared" ca="1" si="41"/>
        <v>1.9750000000000001</v>
      </c>
      <c r="N706" s="7">
        <v>4311</v>
      </c>
      <c r="O706" s="7" t="str">
        <f t="shared" si="42"/>
        <v>مايو</v>
      </c>
      <c r="P706" s="7" t="str">
        <f t="shared" si="43"/>
        <v>راتب عالي</v>
      </c>
    </row>
    <row r="707" spans="1:16" x14ac:dyDescent="0.3">
      <c r="A707" s="9">
        <v>55663</v>
      </c>
      <c r="B707" s="9" t="s">
        <v>1447</v>
      </c>
      <c r="C707" s="9" t="s">
        <v>1448</v>
      </c>
      <c r="D707" s="9" t="s">
        <v>16</v>
      </c>
      <c r="E707" s="9" t="s">
        <v>35</v>
      </c>
      <c r="F707" s="10">
        <v>34964</v>
      </c>
      <c r="G707" s="7">
        <f t="shared" ref="G707:G770" ca="1" si="44">YEARFRAC(F707,TODAY())</f>
        <v>30.625</v>
      </c>
      <c r="H707" s="9" t="s">
        <v>18</v>
      </c>
      <c r="I707" s="9" t="s">
        <v>46</v>
      </c>
      <c r="J707" s="9" t="s">
        <v>20</v>
      </c>
      <c r="K707" s="9" t="s">
        <v>26</v>
      </c>
      <c r="L707" s="10">
        <v>45429</v>
      </c>
      <c r="M707" s="9">
        <f t="shared" ref="M707:M770" ca="1" si="45">YEARFRAC(L707,TODAY())</f>
        <v>1.9722222222222223</v>
      </c>
      <c r="N707" s="9">
        <v>14197</v>
      </c>
      <c r="O707" s="9" t="str">
        <f t="shared" ref="O707:O770" si="46">TEXT(L707,"mmm")</f>
        <v>مايو</v>
      </c>
      <c r="P707" s="7" t="str">
        <f t="shared" ref="P707:P770" si="47">IF(N707&gt;=S$10,"راتب طبيعي","راتب عالي")</f>
        <v>راتب طبيعي</v>
      </c>
    </row>
    <row r="708" spans="1:16" x14ac:dyDescent="0.3">
      <c r="A708" s="7">
        <v>51615</v>
      </c>
      <c r="B708" s="7" t="s">
        <v>1449</v>
      </c>
      <c r="C708" s="7" t="s">
        <v>1450</v>
      </c>
      <c r="D708" s="7" t="s">
        <v>40</v>
      </c>
      <c r="E708" s="7" t="s">
        <v>35</v>
      </c>
      <c r="F708" s="8">
        <v>37941</v>
      </c>
      <c r="G708" s="7">
        <f t="shared" ca="1" si="44"/>
        <v>22.475000000000001</v>
      </c>
      <c r="H708" s="7" t="s">
        <v>18</v>
      </c>
      <c r="I708" s="7" t="s">
        <v>19</v>
      </c>
      <c r="J708" s="7" t="s">
        <v>21</v>
      </c>
      <c r="K708" s="7" t="s">
        <v>20</v>
      </c>
      <c r="L708" s="8">
        <v>45430</v>
      </c>
      <c r="M708" s="7">
        <f t="shared" ca="1" si="45"/>
        <v>1.9694444444444446</v>
      </c>
      <c r="N708" s="7">
        <v>21147</v>
      </c>
      <c r="O708" s="7" t="str">
        <f t="shared" si="46"/>
        <v>مايو</v>
      </c>
      <c r="P708" s="7" t="str">
        <f t="shared" si="47"/>
        <v>راتب طبيعي</v>
      </c>
    </row>
    <row r="709" spans="1:16" x14ac:dyDescent="0.3">
      <c r="A709" s="9">
        <v>59849</v>
      </c>
      <c r="B709" s="9" t="s">
        <v>1451</v>
      </c>
      <c r="C709" s="9" t="s">
        <v>1452</v>
      </c>
      <c r="D709" s="9" t="s">
        <v>16</v>
      </c>
      <c r="E709" s="9" t="s">
        <v>17</v>
      </c>
      <c r="F709" s="10">
        <v>35294</v>
      </c>
      <c r="G709" s="7">
        <f t="shared" ca="1" si="44"/>
        <v>29.722222222222221</v>
      </c>
      <c r="H709" s="9" t="s">
        <v>18</v>
      </c>
      <c r="I709" s="9" t="s">
        <v>25</v>
      </c>
      <c r="J709" s="9" t="s">
        <v>20</v>
      </c>
      <c r="K709" s="9" t="s">
        <v>37</v>
      </c>
      <c r="L709" s="10">
        <v>45431</v>
      </c>
      <c r="M709" s="9">
        <f t="shared" ca="1" si="45"/>
        <v>1.9666666666666666</v>
      </c>
      <c r="N709" s="9">
        <v>6905</v>
      </c>
      <c r="O709" s="9" t="str">
        <f t="shared" si="46"/>
        <v>مايو</v>
      </c>
      <c r="P709" s="7" t="str">
        <f t="shared" si="47"/>
        <v>راتب طبيعي</v>
      </c>
    </row>
    <row r="710" spans="1:16" x14ac:dyDescent="0.3">
      <c r="A710" s="7">
        <v>53653</v>
      </c>
      <c r="B710" s="7" t="s">
        <v>1453</v>
      </c>
      <c r="C710" s="7" t="s">
        <v>1454</v>
      </c>
      <c r="D710" s="7" t="s">
        <v>53</v>
      </c>
      <c r="E710" s="7" t="s">
        <v>35</v>
      </c>
      <c r="F710" s="8">
        <v>36203</v>
      </c>
      <c r="G710" s="7">
        <f t="shared" ca="1" si="44"/>
        <v>27.236111111111111</v>
      </c>
      <c r="H710" s="7" t="s">
        <v>36</v>
      </c>
      <c r="I710" s="7" t="s">
        <v>25</v>
      </c>
      <c r="J710" s="7" t="s">
        <v>26</v>
      </c>
      <c r="K710" s="7" t="s">
        <v>31</v>
      </c>
      <c r="L710" s="8">
        <v>45432</v>
      </c>
      <c r="M710" s="7">
        <f t="shared" ca="1" si="45"/>
        <v>1.9638888888888888</v>
      </c>
      <c r="N710" s="7">
        <v>4042</v>
      </c>
      <c r="O710" s="7" t="str">
        <f t="shared" si="46"/>
        <v>مايو</v>
      </c>
      <c r="P710" s="7" t="str">
        <f t="shared" si="47"/>
        <v>راتب عالي</v>
      </c>
    </row>
    <row r="711" spans="1:16" x14ac:dyDescent="0.3">
      <c r="A711" s="9">
        <v>51004</v>
      </c>
      <c r="B711" s="9" t="s">
        <v>1455</v>
      </c>
      <c r="C711" s="9" t="s">
        <v>1456</v>
      </c>
      <c r="D711" s="9" t="s">
        <v>95</v>
      </c>
      <c r="E711" s="9" t="s">
        <v>35</v>
      </c>
      <c r="F711" s="10">
        <v>31983</v>
      </c>
      <c r="G711" s="7">
        <f t="shared" ca="1" si="44"/>
        <v>38.783333333333331</v>
      </c>
      <c r="H711" s="9" t="s">
        <v>36</v>
      </c>
      <c r="I711" s="9" t="s">
        <v>25</v>
      </c>
      <c r="J711" s="9" t="s">
        <v>20</v>
      </c>
      <c r="K711" s="9" t="s">
        <v>26</v>
      </c>
      <c r="L711" s="10">
        <v>45433</v>
      </c>
      <c r="M711" s="9">
        <f t="shared" ca="1" si="45"/>
        <v>1.961111111111111</v>
      </c>
      <c r="N711" s="9">
        <v>3525</v>
      </c>
      <c r="O711" s="9" t="str">
        <f t="shared" si="46"/>
        <v>مايو</v>
      </c>
      <c r="P711" s="7" t="str">
        <f t="shared" si="47"/>
        <v>راتب عالي</v>
      </c>
    </row>
    <row r="712" spans="1:16" x14ac:dyDescent="0.3">
      <c r="A712" s="7">
        <v>50994</v>
      </c>
      <c r="B712" s="7" t="s">
        <v>1457</v>
      </c>
      <c r="C712" s="7" t="s">
        <v>1458</v>
      </c>
      <c r="D712" s="7" t="s">
        <v>40</v>
      </c>
      <c r="E712" s="7" t="s">
        <v>17</v>
      </c>
      <c r="F712" s="8">
        <v>34727</v>
      </c>
      <c r="G712" s="7">
        <f t="shared" ca="1" si="44"/>
        <v>31.274999999999999</v>
      </c>
      <c r="H712" s="7" t="s">
        <v>36</v>
      </c>
      <c r="I712" s="7" t="s">
        <v>25</v>
      </c>
      <c r="J712" s="7" t="s">
        <v>27</v>
      </c>
      <c r="K712" s="7" t="s">
        <v>37</v>
      </c>
      <c r="L712" s="8">
        <v>45434</v>
      </c>
      <c r="M712" s="7">
        <f t="shared" ca="1" si="45"/>
        <v>1.9583333333333333</v>
      </c>
      <c r="N712" s="7">
        <v>3281</v>
      </c>
      <c r="O712" s="7" t="str">
        <f t="shared" si="46"/>
        <v>مايو</v>
      </c>
      <c r="P712" s="7" t="str">
        <f t="shared" si="47"/>
        <v>راتب عالي</v>
      </c>
    </row>
    <row r="713" spans="1:16" x14ac:dyDescent="0.3">
      <c r="A713" s="9">
        <v>58901</v>
      </c>
      <c r="B713" s="9" t="s">
        <v>1459</v>
      </c>
      <c r="C713" s="9" t="s">
        <v>1460</v>
      </c>
      <c r="D713" s="9" t="s">
        <v>53</v>
      </c>
      <c r="E713" s="9" t="s">
        <v>17</v>
      </c>
      <c r="F713" s="10">
        <v>33818</v>
      </c>
      <c r="G713" s="7">
        <f t="shared" ca="1" si="44"/>
        <v>33.763888888888886</v>
      </c>
      <c r="H713" s="9" t="s">
        <v>18</v>
      </c>
      <c r="I713" s="9" t="s">
        <v>25</v>
      </c>
      <c r="J713" s="9" t="s">
        <v>20</v>
      </c>
      <c r="K713" s="9" t="s">
        <v>27</v>
      </c>
      <c r="L713" s="10">
        <v>45435</v>
      </c>
      <c r="M713" s="9">
        <f t="shared" ca="1" si="45"/>
        <v>1.9555555555555555</v>
      </c>
      <c r="N713" s="9">
        <v>6024</v>
      </c>
      <c r="O713" s="9" t="str">
        <f t="shared" si="46"/>
        <v>مايو</v>
      </c>
      <c r="P713" s="7" t="str">
        <f t="shared" si="47"/>
        <v>راتب طبيعي</v>
      </c>
    </row>
    <row r="714" spans="1:16" x14ac:dyDescent="0.3">
      <c r="A714" s="7">
        <v>51002</v>
      </c>
      <c r="B714" s="7" t="s">
        <v>1461</v>
      </c>
      <c r="C714" s="7" t="s">
        <v>1462</v>
      </c>
      <c r="D714" s="7" t="s">
        <v>30</v>
      </c>
      <c r="E714" s="7" t="s">
        <v>35</v>
      </c>
      <c r="F714" s="8">
        <v>31421</v>
      </c>
      <c r="G714" s="7">
        <f t="shared" ca="1" si="44"/>
        <v>40.327777777777776</v>
      </c>
      <c r="H714" s="7" t="s">
        <v>18</v>
      </c>
      <c r="I714" s="7" t="s">
        <v>25</v>
      </c>
      <c r="J714" s="7" t="s">
        <v>27</v>
      </c>
      <c r="K714" s="7" t="s">
        <v>27</v>
      </c>
      <c r="L714" s="8">
        <v>45436</v>
      </c>
      <c r="M714" s="7">
        <f t="shared" ca="1" si="45"/>
        <v>1.9527777777777777</v>
      </c>
      <c r="N714" s="7">
        <v>5070</v>
      </c>
      <c r="O714" s="7" t="str">
        <f t="shared" si="46"/>
        <v>مايو</v>
      </c>
      <c r="P714" s="7" t="str">
        <f t="shared" si="47"/>
        <v>راتب عالي</v>
      </c>
    </row>
    <row r="715" spans="1:16" x14ac:dyDescent="0.3">
      <c r="A715" s="9">
        <v>56242</v>
      </c>
      <c r="B715" s="9" t="s">
        <v>1463</v>
      </c>
      <c r="C715" s="9" t="s">
        <v>1464</v>
      </c>
      <c r="D715" s="9" t="s">
        <v>34</v>
      </c>
      <c r="E715" s="9" t="s">
        <v>17</v>
      </c>
      <c r="F715" s="10">
        <v>34535</v>
      </c>
      <c r="G715" s="7">
        <f t="shared" ca="1" si="44"/>
        <v>31.797222222222221</v>
      </c>
      <c r="H715" s="9" t="s">
        <v>18</v>
      </c>
      <c r="I715" s="9" t="s">
        <v>25</v>
      </c>
      <c r="J715" s="9" t="s">
        <v>26</v>
      </c>
      <c r="K715" s="9" t="s">
        <v>27</v>
      </c>
      <c r="L715" s="10">
        <v>45437</v>
      </c>
      <c r="M715" s="9">
        <f t="shared" ca="1" si="45"/>
        <v>1.95</v>
      </c>
      <c r="N715" s="9">
        <v>5631</v>
      </c>
      <c r="O715" s="9" t="str">
        <f t="shared" si="46"/>
        <v>مايو</v>
      </c>
      <c r="P715" s="7" t="str">
        <f t="shared" si="47"/>
        <v>راتب عالي</v>
      </c>
    </row>
    <row r="716" spans="1:16" x14ac:dyDescent="0.3">
      <c r="A716" s="7">
        <v>56512</v>
      </c>
      <c r="B716" s="7" t="s">
        <v>1465</v>
      </c>
      <c r="C716" s="7" t="s">
        <v>1466</v>
      </c>
      <c r="D716" s="7" t="s">
        <v>34</v>
      </c>
      <c r="E716" s="7" t="s">
        <v>35</v>
      </c>
      <c r="F716" s="8">
        <v>30179</v>
      </c>
      <c r="G716" s="7">
        <f t="shared" ca="1" si="44"/>
        <v>43.725000000000001</v>
      </c>
      <c r="H716" s="7" t="s">
        <v>36</v>
      </c>
      <c r="I716" s="7" t="s">
        <v>46</v>
      </c>
      <c r="J716" s="7" t="s">
        <v>26</v>
      </c>
      <c r="K716" s="7" t="s">
        <v>37</v>
      </c>
      <c r="L716" s="8">
        <v>45438</v>
      </c>
      <c r="M716" s="7">
        <f t="shared" ca="1" si="45"/>
        <v>1.9472222222222222</v>
      </c>
      <c r="N716" s="7">
        <v>11151</v>
      </c>
      <c r="O716" s="7" t="str">
        <f t="shared" si="46"/>
        <v>مايو</v>
      </c>
      <c r="P716" s="7" t="str">
        <f t="shared" si="47"/>
        <v>راتب طبيعي</v>
      </c>
    </row>
    <row r="717" spans="1:16" x14ac:dyDescent="0.3">
      <c r="A717" s="9">
        <v>53231</v>
      </c>
      <c r="B717" s="9" t="s">
        <v>1467</v>
      </c>
      <c r="C717" s="9" t="s">
        <v>1468</v>
      </c>
      <c r="D717" s="9" t="s">
        <v>16</v>
      </c>
      <c r="E717" s="9" t="s">
        <v>35</v>
      </c>
      <c r="F717" s="10">
        <v>31699</v>
      </c>
      <c r="G717" s="7">
        <f t="shared" ca="1" si="44"/>
        <v>39.56388888888889</v>
      </c>
      <c r="H717" s="9" t="s">
        <v>18</v>
      </c>
      <c r="I717" s="9" t="s">
        <v>25</v>
      </c>
      <c r="J717" s="9" t="s">
        <v>20</v>
      </c>
      <c r="K717" s="9" t="s">
        <v>26</v>
      </c>
      <c r="L717" s="10">
        <v>45439</v>
      </c>
      <c r="M717" s="9">
        <f t="shared" ca="1" si="45"/>
        <v>1.9444444444444444</v>
      </c>
      <c r="N717" s="9">
        <v>4751</v>
      </c>
      <c r="O717" s="9" t="str">
        <f t="shared" si="46"/>
        <v>مايو</v>
      </c>
      <c r="P717" s="7" t="str">
        <f t="shared" si="47"/>
        <v>راتب عالي</v>
      </c>
    </row>
    <row r="718" spans="1:16" x14ac:dyDescent="0.3">
      <c r="A718" s="7">
        <v>55312</v>
      </c>
      <c r="B718" s="7" t="s">
        <v>1469</v>
      </c>
      <c r="C718" s="7" t="s">
        <v>1470</v>
      </c>
      <c r="D718" s="7" t="s">
        <v>30</v>
      </c>
      <c r="E718" s="7" t="s">
        <v>17</v>
      </c>
      <c r="F718" s="8">
        <v>32536</v>
      </c>
      <c r="G718" s="7">
        <f t="shared" ca="1" si="44"/>
        <v>37.274999999999999</v>
      </c>
      <c r="H718" s="7" t="s">
        <v>36</v>
      </c>
      <c r="I718" s="7" t="s">
        <v>25</v>
      </c>
      <c r="J718" s="7" t="s">
        <v>21</v>
      </c>
      <c r="K718" s="7" t="s">
        <v>37</v>
      </c>
      <c r="L718" s="8">
        <v>45440</v>
      </c>
      <c r="M718" s="7">
        <f t="shared" ca="1" si="45"/>
        <v>1.9416666666666667</v>
      </c>
      <c r="N718" s="7">
        <v>6757</v>
      </c>
      <c r="O718" s="7" t="str">
        <f t="shared" si="46"/>
        <v>مايو</v>
      </c>
      <c r="P718" s="7" t="str">
        <f t="shared" si="47"/>
        <v>راتب طبيعي</v>
      </c>
    </row>
    <row r="719" spans="1:16" x14ac:dyDescent="0.3">
      <c r="A719" s="9">
        <v>55201</v>
      </c>
      <c r="B719" s="9" t="s">
        <v>1471</v>
      </c>
      <c r="C719" s="9" t="s">
        <v>1472</v>
      </c>
      <c r="D719" s="9" t="s">
        <v>146</v>
      </c>
      <c r="E719" s="9" t="s">
        <v>35</v>
      </c>
      <c r="F719" s="10">
        <v>36183</v>
      </c>
      <c r="G719" s="7">
        <f t="shared" ca="1" si="44"/>
        <v>27.288888888888888</v>
      </c>
      <c r="H719" s="9" t="s">
        <v>18</v>
      </c>
      <c r="I719" s="9" t="s">
        <v>19</v>
      </c>
      <c r="J719" s="9" t="s">
        <v>21</v>
      </c>
      <c r="K719" s="9" t="s">
        <v>27</v>
      </c>
      <c r="L719" s="10">
        <v>45441</v>
      </c>
      <c r="M719" s="9">
        <f t="shared" ca="1" si="45"/>
        <v>1.9388888888888889</v>
      </c>
      <c r="N719" s="9">
        <v>18226</v>
      </c>
      <c r="O719" s="9" t="str">
        <f t="shared" si="46"/>
        <v>مايو</v>
      </c>
      <c r="P719" s="7" t="str">
        <f t="shared" si="47"/>
        <v>راتب طبيعي</v>
      </c>
    </row>
    <row r="720" spans="1:16" x14ac:dyDescent="0.3">
      <c r="A720" s="7">
        <v>50955</v>
      </c>
      <c r="B720" s="7" t="s">
        <v>1473</v>
      </c>
      <c r="C720" s="7" t="s">
        <v>1474</v>
      </c>
      <c r="D720" s="7" t="s">
        <v>30</v>
      </c>
      <c r="E720" s="7" t="s">
        <v>17</v>
      </c>
      <c r="F720" s="8">
        <v>31914</v>
      </c>
      <c r="G720" s="7">
        <f t="shared" ca="1" si="44"/>
        <v>38.972222222222221</v>
      </c>
      <c r="H720" s="7" t="s">
        <v>18</v>
      </c>
      <c r="I720" s="7" t="s">
        <v>25</v>
      </c>
      <c r="J720" s="7" t="s">
        <v>21</v>
      </c>
      <c r="K720" s="7" t="s">
        <v>26</v>
      </c>
      <c r="L720" s="8">
        <v>45442</v>
      </c>
      <c r="M720" s="7">
        <f t="shared" ca="1" si="45"/>
        <v>1.9361111111111111</v>
      </c>
      <c r="N720" s="7">
        <v>5883</v>
      </c>
      <c r="O720" s="7" t="str">
        <f t="shared" si="46"/>
        <v>مايو</v>
      </c>
      <c r="P720" s="7" t="str">
        <f t="shared" si="47"/>
        <v>راتب عالي</v>
      </c>
    </row>
    <row r="721" spans="1:16" x14ac:dyDescent="0.3">
      <c r="A721" s="9">
        <v>53268</v>
      </c>
      <c r="B721" s="9" t="s">
        <v>1475</v>
      </c>
      <c r="C721" s="9" t="s">
        <v>1476</v>
      </c>
      <c r="D721" s="9" t="s">
        <v>34</v>
      </c>
      <c r="E721" s="9" t="s">
        <v>35</v>
      </c>
      <c r="F721" s="10">
        <v>33093</v>
      </c>
      <c r="G721" s="7">
        <f t="shared" ca="1" si="44"/>
        <v>35.74722222222222</v>
      </c>
      <c r="H721" s="9" t="s">
        <v>18</v>
      </c>
      <c r="I721" s="9" t="s">
        <v>25</v>
      </c>
      <c r="J721" s="9" t="s">
        <v>27</v>
      </c>
      <c r="K721" s="9" t="s">
        <v>31</v>
      </c>
      <c r="L721" s="10">
        <v>45443</v>
      </c>
      <c r="M721" s="9">
        <f t="shared" ca="1" si="45"/>
        <v>1.9361111111111111</v>
      </c>
      <c r="N721" s="9">
        <v>6212</v>
      </c>
      <c r="O721" s="9" t="str">
        <f t="shared" si="46"/>
        <v>مايو</v>
      </c>
      <c r="P721" s="7" t="str">
        <f t="shared" si="47"/>
        <v>راتب طبيعي</v>
      </c>
    </row>
    <row r="722" spans="1:16" x14ac:dyDescent="0.3">
      <c r="A722" s="7">
        <v>56466</v>
      </c>
      <c r="B722" s="7" t="s">
        <v>1477</v>
      </c>
      <c r="C722" s="7" t="s">
        <v>1478</v>
      </c>
      <c r="D722" s="7" t="s">
        <v>95</v>
      </c>
      <c r="E722" s="7" t="s">
        <v>17</v>
      </c>
      <c r="F722" s="8">
        <v>37463</v>
      </c>
      <c r="G722" s="7">
        <f t="shared" ca="1" si="44"/>
        <v>23.780555555555555</v>
      </c>
      <c r="H722" s="7" t="s">
        <v>36</v>
      </c>
      <c r="I722" s="7" t="s">
        <v>19</v>
      </c>
      <c r="J722" s="7" t="s">
        <v>31</v>
      </c>
      <c r="K722" s="7" t="s">
        <v>31</v>
      </c>
      <c r="L722" s="8">
        <v>45444</v>
      </c>
      <c r="M722" s="7">
        <f t="shared" ca="1" si="45"/>
        <v>1.9333333333333333</v>
      </c>
      <c r="N722" s="7">
        <v>15602</v>
      </c>
      <c r="O722" s="7" t="str">
        <f t="shared" si="46"/>
        <v>يونيو</v>
      </c>
      <c r="P722" s="7" t="str">
        <f t="shared" si="47"/>
        <v>راتب طبيعي</v>
      </c>
    </row>
    <row r="723" spans="1:16" x14ac:dyDescent="0.3">
      <c r="A723" s="9">
        <v>59014</v>
      </c>
      <c r="B723" s="9" t="s">
        <v>1479</v>
      </c>
      <c r="C723" s="9" t="s">
        <v>1480</v>
      </c>
      <c r="D723" s="9" t="s">
        <v>34</v>
      </c>
      <c r="E723" s="9" t="s">
        <v>35</v>
      </c>
      <c r="F723" s="10">
        <v>35647</v>
      </c>
      <c r="G723" s="7">
        <f t="shared" ca="1" si="44"/>
        <v>28.755555555555556</v>
      </c>
      <c r="H723" s="9" t="s">
        <v>36</v>
      </c>
      <c r="I723" s="9" t="s">
        <v>25</v>
      </c>
      <c r="J723" s="9" t="s">
        <v>20</v>
      </c>
      <c r="K723" s="9" t="s">
        <v>27</v>
      </c>
      <c r="L723" s="10">
        <v>45445</v>
      </c>
      <c r="M723" s="9">
        <f t="shared" ca="1" si="45"/>
        <v>1.9305555555555556</v>
      </c>
      <c r="N723" s="9">
        <v>3126</v>
      </c>
      <c r="O723" s="9" t="str">
        <f t="shared" si="46"/>
        <v>يونيو</v>
      </c>
      <c r="P723" s="7" t="str">
        <f t="shared" si="47"/>
        <v>راتب عالي</v>
      </c>
    </row>
    <row r="724" spans="1:16" x14ac:dyDescent="0.3">
      <c r="A724" s="7">
        <v>50554</v>
      </c>
      <c r="B724" s="7" t="s">
        <v>1481</v>
      </c>
      <c r="C724" s="7" t="s">
        <v>1482</v>
      </c>
      <c r="D724" s="7" t="s">
        <v>66</v>
      </c>
      <c r="E724" s="7" t="s">
        <v>17</v>
      </c>
      <c r="F724" s="8">
        <v>36622</v>
      </c>
      <c r="G724" s="7">
        <f t="shared" ca="1" si="44"/>
        <v>26.086111111111112</v>
      </c>
      <c r="H724" s="7" t="s">
        <v>18</v>
      </c>
      <c r="I724" s="7" t="s">
        <v>25</v>
      </c>
      <c r="J724" s="7" t="s">
        <v>27</v>
      </c>
      <c r="K724" s="7" t="s">
        <v>20</v>
      </c>
      <c r="L724" s="8">
        <v>45446</v>
      </c>
      <c r="M724" s="7">
        <f t="shared" ca="1" si="45"/>
        <v>1.9277777777777778</v>
      </c>
      <c r="N724" s="7">
        <v>6415</v>
      </c>
      <c r="O724" s="7" t="str">
        <f t="shared" si="46"/>
        <v>يونيو</v>
      </c>
      <c r="P724" s="7" t="str">
        <f t="shared" si="47"/>
        <v>راتب طبيعي</v>
      </c>
    </row>
    <row r="725" spans="1:16" x14ac:dyDescent="0.3">
      <c r="A725" s="9">
        <v>53050</v>
      </c>
      <c r="B725" s="9" t="s">
        <v>1483</v>
      </c>
      <c r="C725" s="9" t="s">
        <v>1484</v>
      </c>
      <c r="D725" s="9" t="s">
        <v>34</v>
      </c>
      <c r="E725" s="9" t="s">
        <v>35</v>
      </c>
      <c r="F725" s="10">
        <v>36931</v>
      </c>
      <c r="G725" s="7">
        <f t="shared" ca="1" si="44"/>
        <v>25.244444444444444</v>
      </c>
      <c r="H725" s="9" t="s">
        <v>36</v>
      </c>
      <c r="I725" s="9" t="s">
        <v>25</v>
      </c>
      <c r="J725" s="9" t="s">
        <v>26</v>
      </c>
      <c r="K725" s="9" t="s">
        <v>26</v>
      </c>
      <c r="L725" s="10">
        <v>45447</v>
      </c>
      <c r="M725" s="9">
        <f t="shared" ca="1" si="45"/>
        <v>1.925</v>
      </c>
      <c r="N725" s="9">
        <v>3233</v>
      </c>
      <c r="O725" s="9" t="str">
        <f t="shared" si="46"/>
        <v>يونيو</v>
      </c>
      <c r="P725" s="7" t="str">
        <f t="shared" si="47"/>
        <v>راتب عالي</v>
      </c>
    </row>
    <row r="726" spans="1:16" x14ac:dyDescent="0.3">
      <c r="A726" s="7">
        <v>50794</v>
      </c>
      <c r="B726" s="7" t="s">
        <v>1485</v>
      </c>
      <c r="C726" s="7" t="s">
        <v>1486</v>
      </c>
      <c r="D726" s="7" t="s">
        <v>43</v>
      </c>
      <c r="E726" s="7" t="s">
        <v>35</v>
      </c>
      <c r="F726" s="8">
        <v>36590</v>
      </c>
      <c r="G726" s="7">
        <f t="shared" ca="1" si="44"/>
        <v>26.172222222222221</v>
      </c>
      <c r="H726" s="7" t="s">
        <v>36</v>
      </c>
      <c r="I726" s="7" t="s">
        <v>19</v>
      </c>
      <c r="J726" s="7" t="s">
        <v>21</v>
      </c>
      <c r="K726" s="7" t="s">
        <v>20</v>
      </c>
      <c r="L726" s="8">
        <v>45448</v>
      </c>
      <c r="M726" s="7">
        <f t="shared" ca="1" si="45"/>
        <v>1.9222222222222223</v>
      </c>
      <c r="N726" s="7">
        <v>18130</v>
      </c>
      <c r="O726" s="7" t="str">
        <f t="shared" si="46"/>
        <v>يونيو</v>
      </c>
      <c r="P726" s="7" t="str">
        <f t="shared" si="47"/>
        <v>راتب طبيعي</v>
      </c>
    </row>
    <row r="727" spans="1:16" x14ac:dyDescent="0.3">
      <c r="A727" s="9">
        <v>58435</v>
      </c>
      <c r="B727" s="9" t="s">
        <v>1487</v>
      </c>
      <c r="C727" s="9" t="s">
        <v>1488</v>
      </c>
      <c r="D727" s="9" t="s">
        <v>30</v>
      </c>
      <c r="E727" s="9" t="s">
        <v>35</v>
      </c>
      <c r="F727" s="10">
        <v>29986</v>
      </c>
      <c r="G727" s="7">
        <f t="shared" ca="1" si="44"/>
        <v>44.258333333333333</v>
      </c>
      <c r="H727" s="9" t="s">
        <v>18</v>
      </c>
      <c r="I727" s="9" t="s">
        <v>25</v>
      </c>
      <c r="J727" s="9" t="s">
        <v>21</v>
      </c>
      <c r="K727" s="9" t="s">
        <v>31</v>
      </c>
      <c r="L727" s="10">
        <v>45449</v>
      </c>
      <c r="M727" s="9">
        <f t="shared" ca="1" si="45"/>
        <v>1.9194444444444445</v>
      </c>
      <c r="N727" s="9">
        <v>4090</v>
      </c>
      <c r="O727" s="9" t="str">
        <f t="shared" si="46"/>
        <v>يونيو</v>
      </c>
      <c r="P727" s="7" t="str">
        <f t="shared" si="47"/>
        <v>راتب عالي</v>
      </c>
    </row>
    <row r="728" spans="1:16" x14ac:dyDescent="0.3">
      <c r="A728" s="7">
        <v>56690</v>
      </c>
      <c r="B728" s="7" t="s">
        <v>1489</v>
      </c>
      <c r="C728" s="7" t="s">
        <v>1490</v>
      </c>
      <c r="D728" s="7" t="s">
        <v>30</v>
      </c>
      <c r="E728" s="7" t="s">
        <v>35</v>
      </c>
      <c r="F728" s="8">
        <v>32210</v>
      </c>
      <c r="G728" s="7">
        <f t="shared" ca="1" si="44"/>
        <v>38.163888888888891</v>
      </c>
      <c r="H728" s="7" t="s">
        <v>36</v>
      </c>
      <c r="I728" s="7" t="s">
        <v>25</v>
      </c>
      <c r="J728" s="7" t="s">
        <v>27</v>
      </c>
      <c r="K728" s="7" t="s">
        <v>27</v>
      </c>
      <c r="L728" s="8">
        <v>45450</v>
      </c>
      <c r="M728" s="7">
        <f t="shared" ca="1" si="45"/>
        <v>1.9166666666666667</v>
      </c>
      <c r="N728" s="7">
        <v>5791</v>
      </c>
      <c r="O728" s="7" t="str">
        <f t="shared" si="46"/>
        <v>يونيو</v>
      </c>
      <c r="P728" s="7" t="str">
        <f t="shared" si="47"/>
        <v>راتب عالي</v>
      </c>
    </row>
    <row r="729" spans="1:16" x14ac:dyDescent="0.3">
      <c r="A729" s="9">
        <v>59555</v>
      </c>
      <c r="B729" s="9" t="s">
        <v>1491</v>
      </c>
      <c r="C729" s="9" t="s">
        <v>1492</v>
      </c>
      <c r="D729" s="9" t="s">
        <v>40</v>
      </c>
      <c r="E729" s="9" t="s">
        <v>17</v>
      </c>
      <c r="F729" s="10">
        <v>30186</v>
      </c>
      <c r="G729" s="7">
        <f t="shared" ca="1" si="44"/>
        <v>43.705555555555556</v>
      </c>
      <c r="H729" s="9" t="s">
        <v>18</v>
      </c>
      <c r="I729" s="9" t="s">
        <v>25</v>
      </c>
      <c r="J729" s="9" t="s">
        <v>20</v>
      </c>
      <c r="K729" s="9" t="s">
        <v>31</v>
      </c>
      <c r="L729" s="10">
        <v>45451</v>
      </c>
      <c r="M729" s="9">
        <f t="shared" ca="1" si="45"/>
        <v>1.913888888888889</v>
      </c>
      <c r="N729" s="9">
        <v>4480</v>
      </c>
      <c r="O729" s="9" t="str">
        <f t="shared" si="46"/>
        <v>يونيو</v>
      </c>
      <c r="P729" s="7" t="str">
        <f t="shared" si="47"/>
        <v>راتب عالي</v>
      </c>
    </row>
    <row r="730" spans="1:16" x14ac:dyDescent="0.3">
      <c r="A730" s="7">
        <v>50593</v>
      </c>
      <c r="B730" s="7" t="s">
        <v>1493</v>
      </c>
      <c r="C730" s="7" t="s">
        <v>1494</v>
      </c>
      <c r="D730" s="7" t="s">
        <v>43</v>
      </c>
      <c r="E730" s="7" t="s">
        <v>17</v>
      </c>
      <c r="F730" s="8">
        <v>32667</v>
      </c>
      <c r="G730" s="7">
        <f t="shared" ca="1" si="44"/>
        <v>36.913888888888891</v>
      </c>
      <c r="H730" s="7" t="s">
        <v>18</v>
      </c>
      <c r="I730" s="7" t="s">
        <v>46</v>
      </c>
      <c r="J730" s="7" t="s">
        <v>27</v>
      </c>
      <c r="K730" s="7" t="s">
        <v>26</v>
      </c>
      <c r="L730" s="8">
        <v>45452</v>
      </c>
      <c r="M730" s="7">
        <f t="shared" ca="1" si="45"/>
        <v>1.9111111111111112</v>
      </c>
      <c r="N730" s="7">
        <v>12725</v>
      </c>
      <c r="O730" s="7" t="str">
        <f t="shared" si="46"/>
        <v>يونيو</v>
      </c>
      <c r="P730" s="7" t="str">
        <f t="shared" si="47"/>
        <v>راتب طبيعي</v>
      </c>
    </row>
    <row r="731" spans="1:16" x14ac:dyDescent="0.3">
      <c r="A731" s="9">
        <v>54708</v>
      </c>
      <c r="B731" s="9" t="s">
        <v>1495</v>
      </c>
      <c r="C731" s="9" t="s">
        <v>1496</v>
      </c>
      <c r="D731" s="9" t="s">
        <v>146</v>
      </c>
      <c r="E731" s="9" t="s">
        <v>17</v>
      </c>
      <c r="F731" s="10">
        <v>30327</v>
      </c>
      <c r="G731" s="7">
        <f t="shared" ca="1" si="44"/>
        <v>43.322222222222223</v>
      </c>
      <c r="H731" s="9" t="s">
        <v>36</v>
      </c>
      <c r="I731" s="9" t="s">
        <v>46</v>
      </c>
      <c r="J731" s="9" t="s">
        <v>26</v>
      </c>
      <c r="K731" s="9" t="s">
        <v>31</v>
      </c>
      <c r="L731" s="10">
        <v>45453</v>
      </c>
      <c r="M731" s="9">
        <f t="shared" ca="1" si="45"/>
        <v>1.9083333333333334</v>
      </c>
      <c r="N731" s="9">
        <v>14541</v>
      </c>
      <c r="O731" s="9" t="str">
        <f t="shared" si="46"/>
        <v>يونيو</v>
      </c>
      <c r="P731" s="7" t="str">
        <f t="shared" si="47"/>
        <v>راتب طبيعي</v>
      </c>
    </row>
    <row r="732" spans="1:16" x14ac:dyDescent="0.3">
      <c r="A732" s="7">
        <v>54337</v>
      </c>
      <c r="B732" s="7" t="s">
        <v>1497</v>
      </c>
      <c r="C732" s="7" t="s">
        <v>1498</v>
      </c>
      <c r="D732" s="7" t="s">
        <v>16</v>
      </c>
      <c r="E732" s="7" t="s">
        <v>17</v>
      </c>
      <c r="F732" s="8">
        <v>34876</v>
      </c>
      <c r="G732" s="7">
        <f t="shared" ca="1" si="44"/>
        <v>30.863888888888887</v>
      </c>
      <c r="H732" s="7" t="s">
        <v>36</v>
      </c>
      <c r="I732" s="7" t="s">
        <v>25</v>
      </c>
      <c r="J732" s="7" t="s">
        <v>21</v>
      </c>
      <c r="K732" s="7" t="s">
        <v>37</v>
      </c>
      <c r="L732" s="8">
        <v>45454</v>
      </c>
      <c r="M732" s="7">
        <f t="shared" ca="1" si="45"/>
        <v>1.9055555555555554</v>
      </c>
      <c r="N732" s="7">
        <v>6109</v>
      </c>
      <c r="O732" s="7" t="str">
        <f t="shared" si="46"/>
        <v>يونيو</v>
      </c>
      <c r="P732" s="7" t="str">
        <f t="shared" si="47"/>
        <v>راتب طبيعي</v>
      </c>
    </row>
    <row r="733" spans="1:16" x14ac:dyDescent="0.3">
      <c r="A733" s="9">
        <v>59553</v>
      </c>
      <c r="B733" s="9" t="s">
        <v>1499</v>
      </c>
      <c r="C733" s="9" t="s">
        <v>1500</v>
      </c>
      <c r="D733" s="9" t="s">
        <v>53</v>
      </c>
      <c r="E733" s="9" t="s">
        <v>35</v>
      </c>
      <c r="F733" s="10">
        <v>34123</v>
      </c>
      <c r="G733" s="7">
        <f t="shared" ca="1" si="44"/>
        <v>32.927777777777777</v>
      </c>
      <c r="H733" s="9" t="s">
        <v>18</v>
      </c>
      <c r="I733" s="9" t="s">
        <v>46</v>
      </c>
      <c r="J733" s="9" t="s">
        <v>21</v>
      </c>
      <c r="K733" s="9" t="s">
        <v>21</v>
      </c>
      <c r="L733" s="10">
        <v>45455</v>
      </c>
      <c r="M733" s="9">
        <f t="shared" ca="1" si="45"/>
        <v>1.9027777777777777</v>
      </c>
      <c r="N733" s="9">
        <v>13973</v>
      </c>
      <c r="O733" s="9" t="str">
        <f t="shared" si="46"/>
        <v>يونيو</v>
      </c>
      <c r="P733" s="7" t="str">
        <f t="shared" si="47"/>
        <v>راتب طبيعي</v>
      </c>
    </row>
    <row r="734" spans="1:16" x14ac:dyDescent="0.3">
      <c r="A734" s="7">
        <v>53903</v>
      </c>
      <c r="B734" s="7" t="s">
        <v>1501</v>
      </c>
      <c r="C734" s="7" t="s">
        <v>1502</v>
      </c>
      <c r="D734" s="7" t="s">
        <v>146</v>
      </c>
      <c r="E734" s="7" t="s">
        <v>17</v>
      </c>
      <c r="F734" s="8">
        <v>37394</v>
      </c>
      <c r="G734" s="7">
        <f t="shared" ca="1" si="44"/>
        <v>23.969444444444445</v>
      </c>
      <c r="H734" s="7" t="s">
        <v>36</v>
      </c>
      <c r="I734" s="7" t="s">
        <v>25</v>
      </c>
      <c r="J734" s="7" t="s">
        <v>31</v>
      </c>
      <c r="K734" s="7" t="s">
        <v>26</v>
      </c>
      <c r="L734" s="8">
        <v>45456</v>
      </c>
      <c r="M734" s="7">
        <f t="shared" ca="1" si="45"/>
        <v>1.9</v>
      </c>
      <c r="N734" s="7">
        <v>6570</v>
      </c>
      <c r="O734" s="7" t="str">
        <f t="shared" si="46"/>
        <v>يونيو</v>
      </c>
      <c r="P734" s="7" t="str">
        <f t="shared" si="47"/>
        <v>راتب طبيعي</v>
      </c>
    </row>
    <row r="735" spans="1:16" x14ac:dyDescent="0.3">
      <c r="A735" s="9">
        <v>51252</v>
      </c>
      <c r="B735" s="9" t="s">
        <v>1503</v>
      </c>
      <c r="C735" s="9" t="s">
        <v>1504</v>
      </c>
      <c r="D735" s="9" t="s">
        <v>40</v>
      </c>
      <c r="E735" s="9" t="s">
        <v>17</v>
      </c>
      <c r="F735" s="10">
        <v>30786</v>
      </c>
      <c r="G735" s="7">
        <f t="shared" ca="1" si="44"/>
        <v>42.06388888888889</v>
      </c>
      <c r="H735" s="9" t="s">
        <v>36</v>
      </c>
      <c r="I735" s="9" t="s">
        <v>25</v>
      </c>
      <c r="J735" s="9" t="s">
        <v>27</v>
      </c>
      <c r="K735" s="9" t="s">
        <v>37</v>
      </c>
      <c r="L735" s="10">
        <v>45457</v>
      </c>
      <c r="M735" s="9">
        <f t="shared" ca="1" si="45"/>
        <v>1.8972222222222221</v>
      </c>
      <c r="N735" s="9">
        <v>3030</v>
      </c>
      <c r="O735" s="9" t="str">
        <f t="shared" si="46"/>
        <v>يونيو</v>
      </c>
      <c r="P735" s="7" t="str">
        <f t="shared" si="47"/>
        <v>راتب عالي</v>
      </c>
    </row>
    <row r="736" spans="1:16" x14ac:dyDescent="0.3">
      <c r="A736" s="7">
        <v>58326</v>
      </c>
      <c r="B736" s="7" t="s">
        <v>1505</v>
      </c>
      <c r="C736" s="7" t="s">
        <v>1506</v>
      </c>
      <c r="D736" s="7" t="s">
        <v>66</v>
      </c>
      <c r="E736" s="7" t="s">
        <v>35</v>
      </c>
      <c r="F736" s="8">
        <v>32900</v>
      </c>
      <c r="G736" s="7">
        <f t="shared" ca="1" si="44"/>
        <v>36.277777777777779</v>
      </c>
      <c r="H736" s="7" t="s">
        <v>18</v>
      </c>
      <c r="I736" s="7" t="s">
        <v>25</v>
      </c>
      <c r="J736" s="7" t="s">
        <v>21</v>
      </c>
      <c r="K736" s="7" t="s">
        <v>26</v>
      </c>
      <c r="L736" s="8">
        <v>45458</v>
      </c>
      <c r="M736" s="7">
        <f t="shared" ca="1" si="45"/>
        <v>1.8944444444444444</v>
      </c>
      <c r="N736" s="7">
        <v>6606</v>
      </c>
      <c r="O736" s="7" t="str">
        <f t="shared" si="46"/>
        <v>يونيو</v>
      </c>
      <c r="P736" s="7" t="str">
        <f t="shared" si="47"/>
        <v>راتب طبيعي</v>
      </c>
    </row>
    <row r="737" spans="1:16" x14ac:dyDescent="0.3">
      <c r="A737" s="9">
        <v>57464</v>
      </c>
      <c r="B737" s="9" t="s">
        <v>1507</v>
      </c>
      <c r="C737" s="9" t="s">
        <v>1508</v>
      </c>
      <c r="D737" s="9" t="s">
        <v>53</v>
      </c>
      <c r="E737" s="9" t="s">
        <v>35</v>
      </c>
      <c r="F737" s="10">
        <v>34867</v>
      </c>
      <c r="G737" s="7">
        <f t="shared" ca="1" si="44"/>
        <v>30.888888888888889</v>
      </c>
      <c r="H737" s="9" t="s">
        <v>36</v>
      </c>
      <c r="I737" s="9" t="s">
        <v>46</v>
      </c>
      <c r="J737" s="9" t="s">
        <v>31</v>
      </c>
      <c r="K737" s="9" t="s">
        <v>31</v>
      </c>
      <c r="L737" s="10">
        <v>45459</v>
      </c>
      <c r="M737" s="9">
        <f t="shared" ca="1" si="45"/>
        <v>1.8916666666666666</v>
      </c>
      <c r="N737" s="9">
        <v>11602</v>
      </c>
      <c r="O737" s="9" t="str">
        <f t="shared" si="46"/>
        <v>يونيو</v>
      </c>
      <c r="P737" s="7" t="str">
        <f t="shared" si="47"/>
        <v>راتب طبيعي</v>
      </c>
    </row>
    <row r="738" spans="1:16" x14ac:dyDescent="0.3">
      <c r="A738" s="7">
        <v>51251</v>
      </c>
      <c r="B738" s="7" t="s">
        <v>1509</v>
      </c>
      <c r="C738" s="7" t="s">
        <v>1510</v>
      </c>
      <c r="D738" s="7" t="s">
        <v>40</v>
      </c>
      <c r="E738" s="7" t="s">
        <v>35</v>
      </c>
      <c r="F738" s="8">
        <v>31845</v>
      </c>
      <c r="G738" s="7">
        <f t="shared" ca="1" si="44"/>
        <v>39.161111111111111</v>
      </c>
      <c r="H738" s="7" t="s">
        <v>18</v>
      </c>
      <c r="I738" s="7" t="s">
        <v>25</v>
      </c>
      <c r="J738" s="7" t="s">
        <v>21</v>
      </c>
      <c r="K738" s="7" t="s">
        <v>37</v>
      </c>
      <c r="L738" s="8">
        <v>45460</v>
      </c>
      <c r="M738" s="7">
        <f t="shared" ca="1" si="45"/>
        <v>1.8888888888888888</v>
      </c>
      <c r="N738" s="7">
        <v>5466</v>
      </c>
      <c r="O738" s="7" t="str">
        <f t="shared" si="46"/>
        <v>يونيو</v>
      </c>
      <c r="P738" s="7" t="str">
        <f t="shared" si="47"/>
        <v>راتب عالي</v>
      </c>
    </row>
    <row r="739" spans="1:16" x14ac:dyDescent="0.3">
      <c r="A739" s="9">
        <v>56005</v>
      </c>
      <c r="B739" s="9" t="s">
        <v>1511</v>
      </c>
      <c r="C739" s="9" t="s">
        <v>1512</v>
      </c>
      <c r="D739" s="9" t="s">
        <v>34</v>
      </c>
      <c r="E739" s="9" t="s">
        <v>35</v>
      </c>
      <c r="F739" s="10">
        <v>35545</v>
      </c>
      <c r="G739" s="7">
        <f t="shared" ca="1" si="44"/>
        <v>29.033333333333335</v>
      </c>
      <c r="H739" s="9" t="s">
        <v>36</v>
      </c>
      <c r="I739" s="9" t="s">
        <v>25</v>
      </c>
      <c r="J739" s="9" t="s">
        <v>21</v>
      </c>
      <c r="K739" s="9" t="s">
        <v>21</v>
      </c>
      <c r="L739" s="10">
        <v>45461</v>
      </c>
      <c r="M739" s="9">
        <f t="shared" ca="1" si="45"/>
        <v>1.8861111111111111</v>
      </c>
      <c r="N739" s="9">
        <v>3064</v>
      </c>
      <c r="O739" s="9" t="str">
        <f t="shared" si="46"/>
        <v>يونيو</v>
      </c>
      <c r="P739" s="7" t="str">
        <f t="shared" si="47"/>
        <v>راتب عالي</v>
      </c>
    </row>
    <row r="740" spans="1:16" x14ac:dyDescent="0.3">
      <c r="A740" s="7">
        <v>59486</v>
      </c>
      <c r="B740" s="7" t="s">
        <v>1513</v>
      </c>
      <c r="C740" s="7" t="s">
        <v>1514</v>
      </c>
      <c r="D740" s="7" t="s">
        <v>34</v>
      </c>
      <c r="E740" s="7" t="s">
        <v>35</v>
      </c>
      <c r="F740" s="8">
        <v>30119</v>
      </c>
      <c r="G740" s="7">
        <f t="shared" ca="1" si="44"/>
        <v>43.888888888888886</v>
      </c>
      <c r="H740" s="7" t="s">
        <v>36</v>
      </c>
      <c r="I740" s="7" t="s">
        <v>46</v>
      </c>
      <c r="J740" s="7" t="s">
        <v>26</v>
      </c>
      <c r="K740" s="7" t="s">
        <v>21</v>
      </c>
      <c r="L740" s="8">
        <v>45462</v>
      </c>
      <c r="M740" s="7">
        <f t="shared" ca="1" si="45"/>
        <v>1.8833333333333333</v>
      </c>
      <c r="N740" s="7">
        <v>13947</v>
      </c>
      <c r="O740" s="7" t="str">
        <f t="shared" si="46"/>
        <v>يونيو</v>
      </c>
      <c r="P740" s="7" t="str">
        <f t="shared" si="47"/>
        <v>راتب طبيعي</v>
      </c>
    </row>
    <row r="741" spans="1:16" x14ac:dyDescent="0.3">
      <c r="A741" s="9">
        <v>55710</v>
      </c>
      <c r="B741" s="9" t="s">
        <v>1515</v>
      </c>
      <c r="C741" s="9" t="s">
        <v>1516</v>
      </c>
      <c r="D741" s="9" t="s">
        <v>43</v>
      </c>
      <c r="E741" s="9" t="s">
        <v>35</v>
      </c>
      <c r="F741" s="10">
        <v>37950</v>
      </c>
      <c r="G741" s="7">
        <f t="shared" ca="1" si="44"/>
        <v>22.45</v>
      </c>
      <c r="H741" s="9" t="s">
        <v>18</v>
      </c>
      <c r="I741" s="9" t="s">
        <v>19</v>
      </c>
      <c r="J741" s="9" t="s">
        <v>31</v>
      </c>
      <c r="K741" s="9" t="s">
        <v>27</v>
      </c>
      <c r="L741" s="10">
        <v>45463</v>
      </c>
      <c r="M741" s="9">
        <f t="shared" ca="1" si="45"/>
        <v>1.8805555555555555</v>
      </c>
      <c r="N741" s="9">
        <v>27961</v>
      </c>
      <c r="O741" s="9" t="str">
        <f t="shared" si="46"/>
        <v>يونيو</v>
      </c>
      <c r="P741" s="7" t="str">
        <f t="shared" si="47"/>
        <v>راتب طبيعي</v>
      </c>
    </row>
    <row r="742" spans="1:16" x14ac:dyDescent="0.3">
      <c r="A742" s="7">
        <v>51726</v>
      </c>
      <c r="B742" s="7" t="s">
        <v>1517</v>
      </c>
      <c r="C742" s="7" t="s">
        <v>1518</v>
      </c>
      <c r="D742" s="7" t="s">
        <v>40</v>
      </c>
      <c r="E742" s="7" t="s">
        <v>35</v>
      </c>
      <c r="F742" s="8">
        <v>32895</v>
      </c>
      <c r="G742" s="7">
        <f t="shared" ca="1" si="44"/>
        <v>36.291666666666664</v>
      </c>
      <c r="H742" s="7" t="s">
        <v>36</v>
      </c>
      <c r="I742" s="7" t="s">
        <v>25</v>
      </c>
      <c r="J742" s="7" t="s">
        <v>27</v>
      </c>
      <c r="K742" s="7" t="s">
        <v>21</v>
      </c>
      <c r="L742" s="8">
        <v>45464</v>
      </c>
      <c r="M742" s="7">
        <f t="shared" ca="1" si="45"/>
        <v>1.8777777777777778</v>
      </c>
      <c r="N742" s="7">
        <v>5786</v>
      </c>
      <c r="O742" s="7" t="str">
        <f t="shared" si="46"/>
        <v>يونيو</v>
      </c>
      <c r="P742" s="7" t="str">
        <f t="shared" si="47"/>
        <v>راتب عالي</v>
      </c>
    </row>
    <row r="743" spans="1:16" x14ac:dyDescent="0.3">
      <c r="A743" s="9">
        <v>56941</v>
      </c>
      <c r="B743" s="9" t="s">
        <v>1519</v>
      </c>
      <c r="C743" s="9" t="s">
        <v>1520</v>
      </c>
      <c r="D743" s="9" t="s">
        <v>40</v>
      </c>
      <c r="E743" s="9" t="s">
        <v>17</v>
      </c>
      <c r="F743" s="10">
        <v>33063</v>
      </c>
      <c r="G743" s="7">
        <f t="shared" ca="1" si="44"/>
        <v>35.827777777777776</v>
      </c>
      <c r="H743" s="9" t="s">
        <v>18</v>
      </c>
      <c r="I743" s="9" t="s">
        <v>25</v>
      </c>
      <c r="J743" s="9" t="s">
        <v>31</v>
      </c>
      <c r="K743" s="9" t="s">
        <v>20</v>
      </c>
      <c r="L743" s="10">
        <v>45465</v>
      </c>
      <c r="M743" s="9">
        <f t="shared" ca="1" si="45"/>
        <v>1.875</v>
      </c>
      <c r="N743" s="9">
        <v>5485</v>
      </c>
      <c r="O743" s="9" t="str">
        <f t="shared" si="46"/>
        <v>يونيو</v>
      </c>
      <c r="P743" s="7" t="str">
        <f t="shared" si="47"/>
        <v>راتب عالي</v>
      </c>
    </row>
    <row r="744" spans="1:16" x14ac:dyDescent="0.3">
      <c r="A744" s="7">
        <v>56303</v>
      </c>
      <c r="B744" s="7" t="s">
        <v>1521</v>
      </c>
      <c r="C744" s="7" t="s">
        <v>1522</v>
      </c>
      <c r="D744" s="7" t="s">
        <v>40</v>
      </c>
      <c r="E744" s="7" t="s">
        <v>17</v>
      </c>
      <c r="F744" s="8">
        <v>35196</v>
      </c>
      <c r="G744" s="7">
        <f t="shared" ca="1" si="44"/>
        <v>29.988888888888887</v>
      </c>
      <c r="H744" s="7" t="s">
        <v>36</v>
      </c>
      <c r="I744" s="7" t="s">
        <v>25</v>
      </c>
      <c r="J744" s="7" t="s">
        <v>21</v>
      </c>
      <c r="K744" s="7" t="s">
        <v>37</v>
      </c>
      <c r="L744" s="8">
        <v>45466</v>
      </c>
      <c r="M744" s="7">
        <f t="shared" ca="1" si="45"/>
        <v>1.8722222222222222</v>
      </c>
      <c r="N744" s="7">
        <v>6276</v>
      </c>
      <c r="O744" s="7" t="str">
        <f t="shared" si="46"/>
        <v>يونيو</v>
      </c>
      <c r="P744" s="7" t="str">
        <f t="shared" si="47"/>
        <v>راتب طبيعي</v>
      </c>
    </row>
    <row r="745" spans="1:16" x14ac:dyDescent="0.3">
      <c r="A745" s="9">
        <v>51922</v>
      </c>
      <c r="B745" s="9" t="s">
        <v>1523</v>
      </c>
      <c r="C745" s="9" t="s">
        <v>1524</v>
      </c>
      <c r="D745" s="9" t="s">
        <v>95</v>
      </c>
      <c r="E745" s="9" t="s">
        <v>17</v>
      </c>
      <c r="F745" s="10">
        <v>30351</v>
      </c>
      <c r="G745" s="7">
        <f t="shared" ca="1" si="44"/>
        <v>43.258333333333333</v>
      </c>
      <c r="H745" s="9" t="s">
        <v>18</v>
      </c>
      <c r="I745" s="9" t="s">
        <v>25</v>
      </c>
      <c r="J745" s="9" t="s">
        <v>20</v>
      </c>
      <c r="K745" s="9" t="s">
        <v>20</v>
      </c>
      <c r="L745" s="10">
        <v>45467</v>
      </c>
      <c r="M745" s="9">
        <f t="shared" ca="1" si="45"/>
        <v>1.8694444444444445</v>
      </c>
      <c r="N745" s="9">
        <v>5707</v>
      </c>
      <c r="O745" s="9" t="str">
        <f t="shared" si="46"/>
        <v>يونيو</v>
      </c>
      <c r="P745" s="7" t="str">
        <f t="shared" si="47"/>
        <v>راتب عالي</v>
      </c>
    </row>
    <row r="746" spans="1:16" x14ac:dyDescent="0.3">
      <c r="A746" s="7">
        <v>58777</v>
      </c>
      <c r="B746" s="7" t="s">
        <v>1525</v>
      </c>
      <c r="C746" s="7" t="s">
        <v>1526</v>
      </c>
      <c r="D746" s="7" t="s">
        <v>40</v>
      </c>
      <c r="E746" s="7" t="s">
        <v>17</v>
      </c>
      <c r="F746" s="8">
        <v>31639</v>
      </c>
      <c r="G746" s="7">
        <f t="shared" ca="1" si="44"/>
        <v>39.727777777777774</v>
      </c>
      <c r="H746" s="7" t="s">
        <v>36</v>
      </c>
      <c r="I746" s="7" t="s">
        <v>46</v>
      </c>
      <c r="J746" s="7" t="s">
        <v>20</v>
      </c>
      <c r="K746" s="7" t="s">
        <v>37</v>
      </c>
      <c r="L746" s="8">
        <v>45468</v>
      </c>
      <c r="M746" s="7">
        <f t="shared" ca="1" si="45"/>
        <v>1.8666666666666667</v>
      </c>
      <c r="N746" s="7">
        <v>12708</v>
      </c>
      <c r="O746" s="7" t="str">
        <f t="shared" si="46"/>
        <v>يونيو</v>
      </c>
      <c r="P746" s="7" t="str">
        <f t="shared" si="47"/>
        <v>راتب طبيعي</v>
      </c>
    </row>
    <row r="747" spans="1:16" x14ac:dyDescent="0.3">
      <c r="A747" s="9">
        <v>53051</v>
      </c>
      <c r="B747" s="9" t="s">
        <v>1527</v>
      </c>
      <c r="C747" s="9" t="s">
        <v>1528</v>
      </c>
      <c r="D747" s="9" t="s">
        <v>146</v>
      </c>
      <c r="E747" s="9" t="s">
        <v>35</v>
      </c>
      <c r="F747" s="10">
        <v>36985</v>
      </c>
      <c r="G747" s="7">
        <f t="shared" ca="1" si="44"/>
        <v>25.091666666666665</v>
      </c>
      <c r="H747" s="9" t="s">
        <v>18</v>
      </c>
      <c r="I747" s="9" t="s">
        <v>25</v>
      </c>
      <c r="J747" s="9" t="s">
        <v>31</v>
      </c>
      <c r="K747" s="9" t="s">
        <v>20</v>
      </c>
      <c r="L747" s="10">
        <v>45469</v>
      </c>
      <c r="M747" s="9">
        <f t="shared" ca="1" si="45"/>
        <v>1.8638888888888889</v>
      </c>
      <c r="N747" s="9">
        <v>5481</v>
      </c>
      <c r="O747" s="9" t="str">
        <f t="shared" si="46"/>
        <v>يونيو</v>
      </c>
      <c r="P747" s="7" t="str">
        <f t="shared" si="47"/>
        <v>راتب عالي</v>
      </c>
    </row>
    <row r="748" spans="1:16" x14ac:dyDescent="0.3">
      <c r="A748" s="7">
        <v>57558</v>
      </c>
      <c r="B748" s="7" t="s">
        <v>1529</v>
      </c>
      <c r="C748" s="7" t="s">
        <v>1530</v>
      </c>
      <c r="D748" s="7" t="s">
        <v>16</v>
      </c>
      <c r="E748" s="7" t="s">
        <v>35</v>
      </c>
      <c r="F748" s="8">
        <v>31542</v>
      </c>
      <c r="G748" s="7">
        <f t="shared" ca="1" si="44"/>
        <v>39.991666666666667</v>
      </c>
      <c r="H748" s="7" t="s">
        <v>36</v>
      </c>
      <c r="I748" s="7" t="s">
        <v>19</v>
      </c>
      <c r="J748" s="7" t="s">
        <v>26</v>
      </c>
      <c r="K748" s="7" t="s">
        <v>37</v>
      </c>
      <c r="L748" s="8">
        <v>45470</v>
      </c>
      <c r="M748" s="7">
        <f t="shared" ca="1" si="45"/>
        <v>1.8611111111111112</v>
      </c>
      <c r="N748" s="7">
        <v>20407</v>
      </c>
      <c r="O748" s="7" t="str">
        <f t="shared" si="46"/>
        <v>يونيو</v>
      </c>
      <c r="P748" s="7" t="str">
        <f t="shared" si="47"/>
        <v>راتب طبيعي</v>
      </c>
    </row>
    <row r="749" spans="1:16" x14ac:dyDescent="0.3">
      <c r="A749" s="9">
        <v>51596</v>
      </c>
      <c r="B749" s="9" t="s">
        <v>1531</v>
      </c>
      <c r="C749" s="9" t="s">
        <v>1532</v>
      </c>
      <c r="D749" s="9" t="s">
        <v>43</v>
      </c>
      <c r="E749" s="9" t="s">
        <v>17</v>
      </c>
      <c r="F749" s="10">
        <v>36622</v>
      </c>
      <c r="G749" s="7">
        <f t="shared" ca="1" si="44"/>
        <v>26.086111111111112</v>
      </c>
      <c r="H749" s="9" t="s">
        <v>18</v>
      </c>
      <c r="I749" s="9" t="s">
        <v>46</v>
      </c>
      <c r="J749" s="9" t="s">
        <v>27</v>
      </c>
      <c r="K749" s="9" t="s">
        <v>37</v>
      </c>
      <c r="L749" s="10">
        <v>45471</v>
      </c>
      <c r="M749" s="9">
        <f t="shared" ca="1" si="45"/>
        <v>1.8583333333333334</v>
      </c>
      <c r="N749" s="9">
        <v>12141</v>
      </c>
      <c r="O749" s="9" t="str">
        <f t="shared" si="46"/>
        <v>يونيو</v>
      </c>
      <c r="P749" s="7" t="str">
        <f t="shared" si="47"/>
        <v>راتب طبيعي</v>
      </c>
    </row>
    <row r="750" spans="1:16" x14ac:dyDescent="0.3">
      <c r="A750" s="7">
        <v>51404</v>
      </c>
      <c r="B750" s="7" t="s">
        <v>1533</v>
      </c>
      <c r="C750" s="7" t="s">
        <v>1534</v>
      </c>
      <c r="D750" s="7" t="s">
        <v>53</v>
      </c>
      <c r="E750" s="7" t="s">
        <v>17</v>
      </c>
      <c r="F750" s="8">
        <v>31028</v>
      </c>
      <c r="G750" s="7">
        <f t="shared" ca="1" si="44"/>
        <v>41.402777777777779</v>
      </c>
      <c r="H750" s="7" t="s">
        <v>36</v>
      </c>
      <c r="I750" s="7" t="s">
        <v>46</v>
      </c>
      <c r="J750" s="7" t="s">
        <v>31</v>
      </c>
      <c r="K750" s="7" t="s">
        <v>31</v>
      </c>
      <c r="L750" s="8">
        <v>45472</v>
      </c>
      <c r="M750" s="7">
        <f t="shared" ca="1" si="45"/>
        <v>1.8555555555555556</v>
      </c>
      <c r="N750" s="7">
        <v>14390</v>
      </c>
      <c r="O750" s="7" t="str">
        <f t="shared" si="46"/>
        <v>يونيو</v>
      </c>
      <c r="P750" s="7" t="str">
        <f t="shared" si="47"/>
        <v>راتب طبيعي</v>
      </c>
    </row>
    <row r="751" spans="1:16" x14ac:dyDescent="0.3">
      <c r="A751" s="9">
        <v>51340</v>
      </c>
      <c r="B751" s="9" t="s">
        <v>1535</v>
      </c>
      <c r="C751" s="9" t="s">
        <v>1536</v>
      </c>
      <c r="D751" s="9" t="s">
        <v>43</v>
      </c>
      <c r="E751" s="9" t="s">
        <v>17</v>
      </c>
      <c r="F751" s="10">
        <v>37914</v>
      </c>
      <c r="G751" s="7">
        <f t="shared" ca="1" si="44"/>
        <v>22.547222222222221</v>
      </c>
      <c r="H751" s="9" t="s">
        <v>18</v>
      </c>
      <c r="I751" s="9" t="s">
        <v>19</v>
      </c>
      <c r="J751" s="9" t="s">
        <v>21</v>
      </c>
      <c r="K751" s="9" t="s">
        <v>37</v>
      </c>
      <c r="L751" s="10">
        <v>45473</v>
      </c>
      <c r="M751" s="9">
        <f t="shared" ca="1" si="45"/>
        <v>1.8527777777777779</v>
      </c>
      <c r="N751" s="9">
        <v>19085</v>
      </c>
      <c r="O751" s="9" t="str">
        <f t="shared" si="46"/>
        <v>يونيو</v>
      </c>
      <c r="P751" s="7" t="str">
        <f t="shared" si="47"/>
        <v>راتب طبيعي</v>
      </c>
    </row>
    <row r="752" spans="1:16" x14ac:dyDescent="0.3">
      <c r="A752" s="7">
        <v>51652</v>
      </c>
      <c r="B752" s="7" t="s">
        <v>1537</v>
      </c>
      <c r="C752" s="7" t="s">
        <v>1538</v>
      </c>
      <c r="D752" s="7" t="s">
        <v>34</v>
      </c>
      <c r="E752" s="7" t="s">
        <v>35</v>
      </c>
      <c r="F752" s="8">
        <v>30383</v>
      </c>
      <c r="G752" s="7">
        <f t="shared" ca="1" si="44"/>
        <v>43.163888888888891</v>
      </c>
      <c r="H752" s="7" t="s">
        <v>36</v>
      </c>
      <c r="I752" s="7" t="s">
        <v>19</v>
      </c>
      <c r="J752" s="7" t="s">
        <v>27</v>
      </c>
      <c r="K752" s="7" t="s">
        <v>31</v>
      </c>
      <c r="L752" s="8">
        <v>45474</v>
      </c>
      <c r="M752" s="7">
        <f t="shared" ca="1" si="45"/>
        <v>1.85</v>
      </c>
      <c r="N752" s="7">
        <v>27008</v>
      </c>
      <c r="O752" s="7" t="str">
        <f t="shared" si="46"/>
        <v>يوليو</v>
      </c>
      <c r="P752" s="7" t="str">
        <f t="shared" si="47"/>
        <v>راتب طبيعي</v>
      </c>
    </row>
    <row r="753" spans="1:16" x14ac:dyDescent="0.3">
      <c r="A753" s="9">
        <v>58584</v>
      </c>
      <c r="B753" s="9" t="s">
        <v>1539</v>
      </c>
      <c r="C753" s="9" t="s">
        <v>1540</v>
      </c>
      <c r="D753" s="9" t="s">
        <v>40</v>
      </c>
      <c r="E753" s="9" t="s">
        <v>35</v>
      </c>
      <c r="F753" s="10">
        <v>36985</v>
      </c>
      <c r="G753" s="7">
        <f t="shared" ca="1" si="44"/>
        <v>25.091666666666665</v>
      </c>
      <c r="H753" s="9" t="s">
        <v>18</v>
      </c>
      <c r="I753" s="9" t="s">
        <v>25</v>
      </c>
      <c r="J753" s="9" t="s">
        <v>31</v>
      </c>
      <c r="K753" s="9" t="s">
        <v>20</v>
      </c>
      <c r="L753" s="10">
        <v>45475</v>
      </c>
      <c r="M753" s="9">
        <f t="shared" ca="1" si="45"/>
        <v>1.8472222222222223</v>
      </c>
      <c r="N753" s="9">
        <v>4266</v>
      </c>
      <c r="O753" s="9" t="str">
        <f t="shared" si="46"/>
        <v>يوليو</v>
      </c>
      <c r="P753" s="7" t="str">
        <f t="shared" si="47"/>
        <v>راتب عالي</v>
      </c>
    </row>
    <row r="754" spans="1:16" x14ac:dyDescent="0.3">
      <c r="A754" s="7">
        <v>58008</v>
      </c>
      <c r="B754" s="7" t="s">
        <v>1541</v>
      </c>
      <c r="C754" s="7" t="s">
        <v>1542</v>
      </c>
      <c r="D754" s="7" t="s">
        <v>66</v>
      </c>
      <c r="E754" s="7" t="s">
        <v>17</v>
      </c>
      <c r="F754" s="8">
        <v>30981</v>
      </c>
      <c r="G754" s="7">
        <f t="shared" ca="1" si="44"/>
        <v>41.530555555555559</v>
      </c>
      <c r="H754" s="7" t="s">
        <v>36</v>
      </c>
      <c r="I754" s="7" t="s">
        <v>25</v>
      </c>
      <c r="J754" s="7" t="s">
        <v>26</v>
      </c>
      <c r="K754" s="7" t="s">
        <v>20</v>
      </c>
      <c r="L754" s="8">
        <v>45476</v>
      </c>
      <c r="M754" s="7">
        <f t="shared" ca="1" si="45"/>
        <v>1.8444444444444446</v>
      </c>
      <c r="N754" s="7">
        <v>6328</v>
      </c>
      <c r="O754" s="7" t="str">
        <f t="shared" si="46"/>
        <v>يوليو</v>
      </c>
      <c r="P754" s="7" t="str">
        <f t="shared" si="47"/>
        <v>راتب طبيعي</v>
      </c>
    </row>
    <row r="755" spans="1:16" x14ac:dyDescent="0.3">
      <c r="A755" s="9">
        <v>52173</v>
      </c>
      <c r="B755" s="9" t="s">
        <v>1543</v>
      </c>
      <c r="C755" s="9" t="s">
        <v>1544</v>
      </c>
      <c r="D755" s="9" t="s">
        <v>40</v>
      </c>
      <c r="E755" s="9" t="s">
        <v>17</v>
      </c>
      <c r="F755" s="10">
        <v>34490</v>
      </c>
      <c r="G755" s="7">
        <f t="shared" ca="1" si="44"/>
        <v>31.922222222222221</v>
      </c>
      <c r="H755" s="9" t="s">
        <v>36</v>
      </c>
      <c r="I755" s="9" t="s">
        <v>19</v>
      </c>
      <c r="J755" s="9" t="s">
        <v>20</v>
      </c>
      <c r="K755" s="9" t="s">
        <v>21</v>
      </c>
      <c r="L755" s="10">
        <v>45477</v>
      </c>
      <c r="M755" s="9">
        <f t="shared" ca="1" si="45"/>
        <v>1.8416666666666666</v>
      </c>
      <c r="N755" s="9">
        <v>27384</v>
      </c>
      <c r="O755" s="9" t="str">
        <f t="shared" si="46"/>
        <v>يوليو</v>
      </c>
      <c r="P755" s="7" t="str">
        <f t="shared" si="47"/>
        <v>راتب طبيعي</v>
      </c>
    </row>
    <row r="756" spans="1:16" x14ac:dyDescent="0.3">
      <c r="A756" s="7">
        <v>57409</v>
      </c>
      <c r="B756" s="7" t="s">
        <v>1545</v>
      </c>
      <c r="C756" s="7" t="s">
        <v>1546</v>
      </c>
      <c r="D756" s="7" t="s">
        <v>146</v>
      </c>
      <c r="E756" s="7" t="s">
        <v>17</v>
      </c>
      <c r="F756" s="8">
        <v>34377</v>
      </c>
      <c r="G756" s="7">
        <f t="shared" ca="1" si="44"/>
        <v>32.236111111111114</v>
      </c>
      <c r="H756" s="7" t="s">
        <v>18</v>
      </c>
      <c r="I756" s="7" t="s">
        <v>25</v>
      </c>
      <c r="J756" s="7" t="s">
        <v>20</v>
      </c>
      <c r="K756" s="7" t="s">
        <v>20</v>
      </c>
      <c r="L756" s="8">
        <v>45478</v>
      </c>
      <c r="M756" s="7">
        <f t="shared" ca="1" si="45"/>
        <v>1.8388888888888888</v>
      </c>
      <c r="N756" s="7">
        <v>3507</v>
      </c>
      <c r="O756" s="7" t="str">
        <f t="shared" si="46"/>
        <v>يوليو</v>
      </c>
      <c r="P756" s="7" t="str">
        <f t="shared" si="47"/>
        <v>راتب عالي</v>
      </c>
    </row>
    <row r="757" spans="1:16" x14ac:dyDescent="0.3">
      <c r="A757" s="9">
        <v>55831</v>
      </c>
      <c r="B757" s="9" t="s">
        <v>1547</v>
      </c>
      <c r="C757" s="9" t="s">
        <v>1548</v>
      </c>
      <c r="D757" s="9" t="s">
        <v>95</v>
      </c>
      <c r="E757" s="9" t="s">
        <v>17</v>
      </c>
      <c r="F757" s="10">
        <v>31903</v>
      </c>
      <c r="G757" s="7">
        <f t="shared" ca="1" si="44"/>
        <v>39.00277777777778</v>
      </c>
      <c r="H757" s="9" t="s">
        <v>36</v>
      </c>
      <c r="I757" s="9" t="s">
        <v>25</v>
      </c>
      <c r="J757" s="9" t="s">
        <v>20</v>
      </c>
      <c r="K757" s="9" t="s">
        <v>20</v>
      </c>
      <c r="L757" s="10">
        <v>45479</v>
      </c>
      <c r="M757" s="9">
        <f t="shared" ca="1" si="45"/>
        <v>1.836111111111111</v>
      </c>
      <c r="N757" s="9">
        <v>6800</v>
      </c>
      <c r="O757" s="9" t="str">
        <f t="shared" si="46"/>
        <v>يوليو</v>
      </c>
      <c r="P757" s="7" t="str">
        <f t="shared" si="47"/>
        <v>راتب طبيعي</v>
      </c>
    </row>
    <row r="758" spans="1:16" x14ac:dyDescent="0.3">
      <c r="A758" s="7">
        <v>58419</v>
      </c>
      <c r="B758" s="7" t="s">
        <v>1549</v>
      </c>
      <c r="C758" s="7" t="s">
        <v>1550</v>
      </c>
      <c r="D758" s="7" t="s">
        <v>66</v>
      </c>
      <c r="E758" s="7" t="s">
        <v>35</v>
      </c>
      <c r="F758" s="8">
        <v>30273</v>
      </c>
      <c r="G758" s="7">
        <f t="shared" ca="1" si="44"/>
        <v>43.469444444444441</v>
      </c>
      <c r="H758" s="7" t="s">
        <v>18</v>
      </c>
      <c r="I758" s="7" t="s">
        <v>25</v>
      </c>
      <c r="J758" s="7" t="s">
        <v>26</v>
      </c>
      <c r="K758" s="7" t="s">
        <v>37</v>
      </c>
      <c r="L758" s="8">
        <v>45480</v>
      </c>
      <c r="M758" s="7">
        <f t="shared" ca="1" si="45"/>
        <v>1.8333333333333333</v>
      </c>
      <c r="N758" s="7">
        <v>6265</v>
      </c>
      <c r="O758" s="7" t="str">
        <f t="shared" si="46"/>
        <v>يوليو</v>
      </c>
      <c r="P758" s="7" t="str">
        <f t="shared" si="47"/>
        <v>راتب طبيعي</v>
      </c>
    </row>
    <row r="759" spans="1:16" x14ac:dyDescent="0.3">
      <c r="A759" s="9">
        <v>57354</v>
      </c>
      <c r="B759" s="9" t="s">
        <v>1551</v>
      </c>
      <c r="C759" s="9" t="s">
        <v>1552</v>
      </c>
      <c r="D759" s="9" t="s">
        <v>146</v>
      </c>
      <c r="E759" s="9" t="s">
        <v>17</v>
      </c>
      <c r="F759" s="10">
        <v>36383</v>
      </c>
      <c r="G759" s="7">
        <f t="shared" ca="1" si="44"/>
        <v>26.738888888888887</v>
      </c>
      <c r="H759" s="9" t="s">
        <v>36</v>
      </c>
      <c r="I759" s="9" t="s">
        <v>25</v>
      </c>
      <c r="J759" s="9" t="s">
        <v>20</v>
      </c>
      <c r="K759" s="9" t="s">
        <v>26</v>
      </c>
      <c r="L759" s="10">
        <v>45481</v>
      </c>
      <c r="M759" s="9">
        <f t="shared" ca="1" si="45"/>
        <v>1.8305555555555555</v>
      </c>
      <c r="N759" s="9">
        <v>6563</v>
      </c>
      <c r="O759" s="9" t="str">
        <f t="shared" si="46"/>
        <v>يوليو</v>
      </c>
      <c r="P759" s="7" t="str">
        <f t="shared" si="47"/>
        <v>راتب طبيعي</v>
      </c>
    </row>
    <row r="760" spans="1:16" x14ac:dyDescent="0.3">
      <c r="A760" s="7">
        <v>50634</v>
      </c>
      <c r="B760" s="7" t="s">
        <v>1553</v>
      </c>
      <c r="C760" s="7" t="s">
        <v>1554</v>
      </c>
      <c r="D760" s="7" t="s">
        <v>53</v>
      </c>
      <c r="E760" s="7" t="s">
        <v>17</v>
      </c>
      <c r="F760" s="8">
        <v>34684</v>
      </c>
      <c r="G760" s="7">
        <f t="shared" ca="1" si="44"/>
        <v>31.391666666666666</v>
      </c>
      <c r="H760" s="7" t="s">
        <v>18</v>
      </c>
      <c r="I760" s="7" t="s">
        <v>46</v>
      </c>
      <c r="J760" s="7" t="s">
        <v>31</v>
      </c>
      <c r="K760" s="7" t="s">
        <v>37</v>
      </c>
      <c r="L760" s="8">
        <v>45482</v>
      </c>
      <c r="M760" s="7">
        <f t="shared" ca="1" si="45"/>
        <v>1.8277777777777777</v>
      </c>
      <c r="N760" s="7">
        <v>11613</v>
      </c>
      <c r="O760" s="7" t="str">
        <f t="shared" si="46"/>
        <v>يوليو</v>
      </c>
      <c r="P760" s="7" t="str">
        <f t="shared" si="47"/>
        <v>راتب طبيعي</v>
      </c>
    </row>
    <row r="761" spans="1:16" x14ac:dyDescent="0.3">
      <c r="A761" s="9">
        <v>58231</v>
      </c>
      <c r="B761" s="9" t="s">
        <v>1555</v>
      </c>
      <c r="C761" s="9" t="s">
        <v>1556</v>
      </c>
      <c r="D761" s="9" t="s">
        <v>146</v>
      </c>
      <c r="E761" s="9" t="s">
        <v>17</v>
      </c>
      <c r="F761" s="10">
        <v>32746</v>
      </c>
      <c r="G761" s="7">
        <f t="shared" ca="1" si="44"/>
        <v>36.697222222222223</v>
      </c>
      <c r="H761" s="9" t="s">
        <v>36</v>
      </c>
      <c r="I761" s="9" t="s">
        <v>25</v>
      </c>
      <c r="J761" s="9" t="s">
        <v>26</v>
      </c>
      <c r="K761" s="9" t="s">
        <v>21</v>
      </c>
      <c r="L761" s="10">
        <v>45483</v>
      </c>
      <c r="M761" s="9">
        <f t="shared" ca="1" si="45"/>
        <v>1.825</v>
      </c>
      <c r="N761" s="9">
        <v>6599</v>
      </c>
      <c r="O761" s="9" t="str">
        <f t="shared" si="46"/>
        <v>يوليو</v>
      </c>
      <c r="P761" s="7" t="str">
        <f t="shared" si="47"/>
        <v>راتب طبيعي</v>
      </c>
    </row>
    <row r="762" spans="1:16" x14ac:dyDescent="0.3">
      <c r="A762" s="7">
        <v>51280</v>
      </c>
      <c r="B762" s="7" t="s">
        <v>1557</v>
      </c>
      <c r="C762" s="7" t="s">
        <v>1558</v>
      </c>
      <c r="D762" s="7" t="s">
        <v>66</v>
      </c>
      <c r="E762" s="7" t="s">
        <v>17</v>
      </c>
      <c r="F762" s="8">
        <v>37159</v>
      </c>
      <c r="G762" s="7">
        <f t="shared" ca="1" si="44"/>
        <v>24.616666666666667</v>
      </c>
      <c r="H762" s="7" t="s">
        <v>36</v>
      </c>
      <c r="I762" s="7" t="s">
        <v>19</v>
      </c>
      <c r="J762" s="7" t="s">
        <v>27</v>
      </c>
      <c r="K762" s="7" t="s">
        <v>37</v>
      </c>
      <c r="L762" s="8">
        <v>45484</v>
      </c>
      <c r="M762" s="7">
        <f t="shared" ca="1" si="45"/>
        <v>1.8222222222222222</v>
      </c>
      <c r="N762" s="7">
        <v>26117</v>
      </c>
      <c r="O762" s="7" t="str">
        <f t="shared" si="46"/>
        <v>يوليو</v>
      </c>
      <c r="P762" s="7" t="str">
        <f t="shared" si="47"/>
        <v>راتب طبيعي</v>
      </c>
    </row>
    <row r="763" spans="1:16" x14ac:dyDescent="0.3">
      <c r="A763" s="9">
        <v>54170</v>
      </c>
      <c r="B763" s="9" t="s">
        <v>1559</v>
      </c>
      <c r="C763" s="9" t="s">
        <v>1560</v>
      </c>
      <c r="D763" s="9" t="s">
        <v>146</v>
      </c>
      <c r="E763" s="9" t="s">
        <v>35</v>
      </c>
      <c r="F763" s="10">
        <v>32496</v>
      </c>
      <c r="G763" s="7">
        <f t="shared" ca="1" si="44"/>
        <v>37.383333333333333</v>
      </c>
      <c r="H763" s="9" t="s">
        <v>36</v>
      </c>
      <c r="I763" s="9" t="s">
        <v>25</v>
      </c>
      <c r="J763" s="9" t="s">
        <v>26</v>
      </c>
      <c r="K763" s="9" t="s">
        <v>26</v>
      </c>
      <c r="L763" s="10">
        <v>45485</v>
      </c>
      <c r="M763" s="9">
        <f t="shared" ca="1" si="45"/>
        <v>1.8194444444444444</v>
      </c>
      <c r="N763" s="9">
        <v>5569</v>
      </c>
      <c r="O763" s="9" t="str">
        <f t="shared" si="46"/>
        <v>يوليو</v>
      </c>
      <c r="P763" s="7" t="str">
        <f t="shared" si="47"/>
        <v>راتب عالي</v>
      </c>
    </row>
    <row r="764" spans="1:16" x14ac:dyDescent="0.3">
      <c r="A764" s="7">
        <v>58665</v>
      </c>
      <c r="B764" s="7" t="s">
        <v>1561</v>
      </c>
      <c r="C764" s="7" t="s">
        <v>1562</v>
      </c>
      <c r="D764" s="7" t="s">
        <v>146</v>
      </c>
      <c r="E764" s="7" t="s">
        <v>35</v>
      </c>
      <c r="F764" s="8">
        <v>34094</v>
      </c>
      <c r="G764" s="7">
        <f t="shared" ca="1" si="44"/>
        <v>33.005555555555553</v>
      </c>
      <c r="H764" s="7" t="s">
        <v>36</v>
      </c>
      <c r="I764" s="7" t="s">
        <v>25</v>
      </c>
      <c r="J764" s="7" t="s">
        <v>27</v>
      </c>
      <c r="K764" s="7" t="s">
        <v>27</v>
      </c>
      <c r="L764" s="8">
        <v>45486</v>
      </c>
      <c r="M764" s="7">
        <f t="shared" ca="1" si="45"/>
        <v>1.8166666666666667</v>
      </c>
      <c r="N764" s="7">
        <v>3645</v>
      </c>
      <c r="O764" s="7" t="str">
        <f t="shared" si="46"/>
        <v>يوليو</v>
      </c>
      <c r="P764" s="7" t="str">
        <f t="shared" si="47"/>
        <v>راتب عالي</v>
      </c>
    </row>
    <row r="765" spans="1:16" x14ac:dyDescent="0.3">
      <c r="A765" s="9">
        <v>57509</v>
      </c>
      <c r="B765" s="9" t="s">
        <v>1563</v>
      </c>
      <c r="C765" s="9" t="s">
        <v>1564</v>
      </c>
      <c r="D765" s="9" t="s">
        <v>43</v>
      </c>
      <c r="E765" s="9" t="s">
        <v>17</v>
      </c>
      <c r="F765" s="10">
        <v>37232</v>
      </c>
      <c r="G765" s="7">
        <f t="shared" ca="1" si="44"/>
        <v>24.416666666666668</v>
      </c>
      <c r="H765" s="9" t="s">
        <v>18</v>
      </c>
      <c r="I765" s="9" t="s">
        <v>46</v>
      </c>
      <c r="J765" s="9" t="s">
        <v>21</v>
      </c>
      <c r="K765" s="9" t="s">
        <v>21</v>
      </c>
      <c r="L765" s="10">
        <v>45487</v>
      </c>
      <c r="M765" s="9">
        <f t="shared" ca="1" si="45"/>
        <v>1.8138888888888889</v>
      </c>
      <c r="N765" s="9">
        <v>12840</v>
      </c>
      <c r="O765" s="9" t="str">
        <f t="shared" si="46"/>
        <v>يوليو</v>
      </c>
      <c r="P765" s="7" t="str">
        <f t="shared" si="47"/>
        <v>راتب طبيعي</v>
      </c>
    </row>
    <row r="766" spans="1:16" x14ac:dyDescent="0.3">
      <c r="A766" s="7">
        <v>52779</v>
      </c>
      <c r="B766" s="7" t="s">
        <v>1565</v>
      </c>
      <c r="C766" s="7" t="s">
        <v>1566</v>
      </c>
      <c r="D766" s="7" t="s">
        <v>30</v>
      </c>
      <c r="E766" s="7" t="s">
        <v>35</v>
      </c>
      <c r="F766" s="8">
        <v>31625</v>
      </c>
      <c r="G766" s="7">
        <f t="shared" ca="1" si="44"/>
        <v>39.766666666666666</v>
      </c>
      <c r="H766" s="7" t="s">
        <v>36</v>
      </c>
      <c r="I766" s="7" t="s">
        <v>25</v>
      </c>
      <c r="J766" s="7" t="s">
        <v>20</v>
      </c>
      <c r="K766" s="7" t="s">
        <v>21</v>
      </c>
      <c r="L766" s="8">
        <v>45488</v>
      </c>
      <c r="M766" s="7">
        <f t="shared" ca="1" si="45"/>
        <v>1.8111111111111111</v>
      </c>
      <c r="N766" s="7">
        <v>5764</v>
      </c>
      <c r="O766" s="7" t="str">
        <f t="shared" si="46"/>
        <v>يوليو</v>
      </c>
      <c r="P766" s="7" t="str">
        <f t="shared" si="47"/>
        <v>راتب عالي</v>
      </c>
    </row>
    <row r="767" spans="1:16" x14ac:dyDescent="0.3">
      <c r="A767" s="9">
        <v>53492</v>
      </c>
      <c r="B767" s="9" t="s">
        <v>1567</v>
      </c>
      <c r="C767" s="9" t="s">
        <v>1568</v>
      </c>
      <c r="D767" s="9" t="s">
        <v>40</v>
      </c>
      <c r="E767" s="9" t="s">
        <v>35</v>
      </c>
      <c r="F767" s="10">
        <v>31281</v>
      </c>
      <c r="G767" s="7">
        <f t="shared" ca="1" si="44"/>
        <v>40.708333333333336</v>
      </c>
      <c r="H767" s="9" t="s">
        <v>36</v>
      </c>
      <c r="I767" s="9" t="s">
        <v>25</v>
      </c>
      <c r="J767" s="9" t="s">
        <v>27</v>
      </c>
      <c r="K767" s="9" t="s">
        <v>31</v>
      </c>
      <c r="L767" s="10">
        <v>45489</v>
      </c>
      <c r="M767" s="9">
        <f t="shared" ca="1" si="45"/>
        <v>1.8083333333333333</v>
      </c>
      <c r="N767" s="9">
        <v>4502</v>
      </c>
      <c r="O767" s="9" t="str">
        <f t="shared" si="46"/>
        <v>يوليو</v>
      </c>
      <c r="P767" s="7" t="str">
        <f t="shared" si="47"/>
        <v>راتب عالي</v>
      </c>
    </row>
    <row r="768" spans="1:16" x14ac:dyDescent="0.3">
      <c r="A768" s="7">
        <v>52367</v>
      </c>
      <c r="B768" s="7" t="s">
        <v>1569</v>
      </c>
      <c r="C768" s="7" t="s">
        <v>1570</v>
      </c>
      <c r="D768" s="7" t="s">
        <v>53</v>
      </c>
      <c r="E768" s="7" t="s">
        <v>17</v>
      </c>
      <c r="F768" s="8">
        <v>36501</v>
      </c>
      <c r="G768" s="7">
        <f t="shared" ca="1" si="44"/>
        <v>26.416666666666668</v>
      </c>
      <c r="H768" s="7" t="s">
        <v>18</v>
      </c>
      <c r="I768" s="7" t="s">
        <v>25</v>
      </c>
      <c r="J768" s="7" t="s">
        <v>27</v>
      </c>
      <c r="K768" s="7" t="s">
        <v>27</v>
      </c>
      <c r="L768" s="8">
        <v>45490</v>
      </c>
      <c r="M768" s="7">
        <f t="shared" ca="1" si="45"/>
        <v>1.8055555555555556</v>
      </c>
      <c r="N768" s="7">
        <v>5410</v>
      </c>
      <c r="O768" s="7" t="str">
        <f t="shared" si="46"/>
        <v>يوليو</v>
      </c>
      <c r="P768" s="7" t="str">
        <f t="shared" si="47"/>
        <v>راتب عالي</v>
      </c>
    </row>
    <row r="769" spans="1:16" x14ac:dyDescent="0.3">
      <c r="A769" s="9">
        <v>53590</v>
      </c>
      <c r="B769" s="9" t="s">
        <v>1571</v>
      </c>
      <c r="C769" s="9" t="s">
        <v>1572</v>
      </c>
      <c r="D769" s="9" t="s">
        <v>66</v>
      </c>
      <c r="E769" s="9" t="s">
        <v>35</v>
      </c>
      <c r="F769" s="10">
        <v>30052</v>
      </c>
      <c r="G769" s="7">
        <f t="shared" ca="1" si="44"/>
        <v>44.072222222222223</v>
      </c>
      <c r="H769" s="9" t="s">
        <v>36</v>
      </c>
      <c r="I769" s="9" t="s">
        <v>25</v>
      </c>
      <c r="J769" s="9" t="s">
        <v>26</v>
      </c>
      <c r="K769" s="9" t="s">
        <v>21</v>
      </c>
      <c r="L769" s="10">
        <v>45491</v>
      </c>
      <c r="M769" s="9">
        <f t="shared" ca="1" si="45"/>
        <v>1.8027777777777778</v>
      </c>
      <c r="N769" s="9">
        <v>5332</v>
      </c>
      <c r="O769" s="9" t="str">
        <f t="shared" si="46"/>
        <v>يوليو</v>
      </c>
      <c r="P769" s="7" t="str">
        <f t="shared" si="47"/>
        <v>راتب عالي</v>
      </c>
    </row>
    <row r="770" spans="1:16" x14ac:dyDescent="0.3">
      <c r="A770" s="7">
        <v>56098</v>
      </c>
      <c r="B770" s="7" t="s">
        <v>1573</v>
      </c>
      <c r="C770" s="7" t="s">
        <v>1574</v>
      </c>
      <c r="D770" s="7" t="s">
        <v>95</v>
      </c>
      <c r="E770" s="7" t="s">
        <v>35</v>
      </c>
      <c r="F770" s="8">
        <v>36461</v>
      </c>
      <c r="G770" s="7">
        <f t="shared" ca="1" si="44"/>
        <v>26.524999999999999</v>
      </c>
      <c r="H770" s="7" t="s">
        <v>36</v>
      </c>
      <c r="I770" s="7" t="s">
        <v>46</v>
      </c>
      <c r="J770" s="7" t="s">
        <v>31</v>
      </c>
      <c r="K770" s="7" t="s">
        <v>26</v>
      </c>
      <c r="L770" s="8">
        <v>45492</v>
      </c>
      <c r="M770" s="7">
        <f t="shared" ca="1" si="45"/>
        <v>1.8</v>
      </c>
      <c r="N770" s="7">
        <v>11290</v>
      </c>
      <c r="O770" s="7" t="str">
        <f t="shared" si="46"/>
        <v>يوليو</v>
      </c>
      <c r="P770" s="7" t="str">
        <f t="shared" si="47"/>
        <v>راتب طبيعي</v>
      </c>
    </row>
    <row r="771" spans="1:16" x14ac:dyDescent="0.3">
      <c r="A771" s="9">
        <v>50779</v>
      </c>
      <c r="B771" s="9" t="s">
        <v>1575</v>
      </c>
      <c r="C771" s="9" t="s">
        <v>1576</v>
      </c>
      <c r="D771" s="9" t="s">
        <v>40</v>
      </c>
      <c r="E771" s="9" t="s">
        <v>17</v>
      </c>
      <c r="F771" s="10">
        <v>30445</v>
      </c>
      <c r="G771" s="7">
        <f t="shared" ref="G771:G834" ca="1" si="48">YEARFRAC(F771,TODAY())</f>
        <v>42.994444444444447</v>
      </c>
      <c r="H771" s="9" t="s">
        <v>18</v>
      </c>
      <c r="I771" s="9" t="s">
        <v>25</v>
      </c>
      <c r="J771" s="9" t="s">
        <v>27</v>
      </c>
      <c r="K771" s="9" t="s">
        <v>21</v>
      </c>
      <c r="L771" s="10">
        <v>45493</v>
      </c>
      <c r="M771" s="9">
        <f t="shared" ref="M771:M834" ca="1" si="49">YEARFRAC(L771,TODAY())</f>
        <v>1.7972222222222223</v>
      </c>
      <c r="N771" s="9">
        <v>5664</v>
      </c>
      <c r="O771" s="9" t="str">
        <f t="shared" ref="O771:O834" si="50">TEXT(L771,"mmm")</f>
        <v>يوليو</v>
      </c>
      <c r="P771" s="7" t="str">
        <f t="shared" ref="P771:P834" si="51">IF(N771&gt;=S$10,"راتب طبيعي","راتب عالي")</f>
        <v>راتب عالي</v>
      </c>
    </row>
    <row r="772" spans="1:16" x14ac:dyDescent="0.3">
      <c r="A772" s="7">
        <v>55935</v>
      </c>
      <c r="B772" s="7" t="s">
        <v>1577</v>
      </c>
      <c r="C772" s="7" t="s">
        <v>1578</v>
      </c>
      <c r="D772" s="7" t="s">
        <v>34</v>
      </c>
      <c r="E772" s="7" t="s">
        <v>17</v>
      </c>
      <c r="F772" s="8">
        <v>37486</v>
      </c>
      <c r="G772" s="7">
        <f t="shared" ca="1" si="48"/>
        <v>23.719444444444445</v>
      </c>
      <c r="H772" s="7" t="s">
        <v>36</v>
      </c>
      <c r="I772" s="7" t="s">
        <v>46</v>
      </c>
      <c r="J772" s="7" t="s">
        <v>21</v>
      </c>
      <c r="K772" s="7" t="s">
        <v>27</v>
      </c>
      <c r="L772" s="8">
        <v>45494</v>
      </c>
      <c r="M772" s="7">
        <f t="shared" ca="1" si="49"/>
        <v>1.7944444444444445</v>
      </c>
      <c r="N772" s="7">
        <v>13554</v>
      </c>
      <c r="O772" s="7" t="str">
        <f t="shared" si="50"/>
        <v>يوليو</v>
      </c>
      <c r="P772" s="7" t="str">
        <f t="shared" si="51"/>
        <v>راتب طبيعي</v>
      </c>
    </row>
    <row r="773" spans="1:16" x14ac:dyDescent="0.3">
      <c r="A773" s="9">
        <v>55143</v>
      </c>
      <c r="B773" s="9" t="s">
        <v>1579</v>
      </c>
      <c r="C773" s="9" t="s">
        <v>1580</v>
      </c>
      <c r="D773" s="9" t="s">
        <v>53</v>
      </c>
      <c r="E773" s="9" t="s">
        <v>35</v>
      </c>
      <c r="F773" s="10">
        <v>31039</v>
      </c>
      <c r="G773" s="7">
        <f t="shared" ca="1" si="48"/>
        <v>41.37222222222222</v>
      </c>
      <c r="H773" s="9" t="s">
        <v>18</v>
      </c>
      <c r="I773" s="9" t="s">
        <v>19</v>
      </c>
      <c r="J773" s="9" t="s">
        <v>21</v>
      </c>
      <c r="K773" s="9" t="s">
        <v>31</v>
      </c>
      <c r="L773" s="10">
        <v>45495</v>
      </c>
      <c r="M773" s="9">
        <f t="shared" ca="1" si="49"/>
        <v>1.7916666666666667</v>
      </c>
      <c r="N773" s="9">
        <v>17211</v>
      </c>
      <c r="O773" s="9" t="str">
        <f t="shared" si="50"/>
        <v>يوليو</v>
      </c>
      <c r="P773" s="7" t="str">
        <f t="shared" si="51"/>
        <v>راتب طبيعي</v>
      </c>
    </row>
    <row r="774" spans="1:16" x14ac:dyDescent="0.3">
      <c r="A774" s="7">
        <v>53026</v>
      </c>
      <c r="B774" s="7" t="s">
        <v>1581</v>
      </c>
      <c r="C774" s="7" t="s">
        <v>1582</v>
      </c>
      <c r="D774" s="7" t="s">
        <v>40</v>
      </c>
      <c r="E774" s="7" t="s">
        <v>17</v>
      </c>
      <c r="F774" s="8">
        <v>37261</v>
      </c>
      <c r="G774" s="7">
        <f t="shared" ca="1" si="48"/>
        <v>24.338888888888889</v>
      </c>
      <c r="H774" s="7" t="s">
        <v>18</v>
      </c>
      <c r="I774" s="7" t="s">
        <v>25</v>
      </c>
      <c r="J774" s="7" t="s">
        <v>20</v>
      </c>
      <c r="K774" s="7" t="s">
        <v>37</v>
      </c>
      <c r="L774" s="8">
        <v>45496</v>
      </c>
      <c r="M774" s="7">
        <f t="shared" ca="1" si="49"/>
        <v>1.788888888888889</v>
      </c>
      <c r="N774" s="7">
        <v>5669</v>
      </c>
      <c r="O774" s="7" t="str">
        <f t="shared" si="50"/>
        <v>يوليو</v>
      </c>
      <c r="P774" s="7" t="str">
        <f t="shared" si="51"/>
        <v>راتب عالي</v>
      </c>
    </row>
    <row r="775" spans="1:16" x14ac:dyDescent="0.3">
      <c r="A775" s="9">
        <v>51988</v>
      </c>
      <c r="B775" s="9" t="s">
        <v>1583</v>
      </c>
      <c r="C775" s="9" t="s">
        <v>1584</v>
      </c>
      <c r="D775" s="9" t="s">
        <v>40</v>
      </c>
      <c r="E775" s="9" t="s">
        <v>17</v>
      </c>
      <c r="F775" s="10">
        <v>34391</v>
      </c>
      <c r="G775" s="7">
        <f t="shared" ca="1" si="48"/>
        <v>32.197222222222223</v>
      </c>
      <c r="H775" s="9" t="s">
        <v>36</v>
      </c>
      <c r="I775" s="9" t="s">
        <v>25</v>
      </c>
      <c r="J775" s="9" t="s">
        <v>21</v>
      </c>
      <c r="K775" s="9" t="s">
        <v>21</v>
      </c>
      <c r="L775" s="10">
        <v>45497</v>
      </c>
      <c r="M775" s="9">
        <f t="shared" ca="1" si="49"/>
        <v>1.7861111111111112</v>
      </c>
      <c r="N775" s="9">
        <v>3370</v>
      </c>
      <c r="O775" s="9" t="str">
        <f t="shared" si="50"/>
        <v>يوليو</v>
      </c>
      <c r="P775" s="7" t="str">
        <f t="shared" si="51"/>
        <v>راتب عالي</v>
      </c>
    </row>
    <row r="776" spans="1:16" x14ac:dyDescent="0.3">
      <c r="A776" s="7">
        <v>50132</v>
      </c>
      <c r="B776" s="7" t="s">
        <v>1585</v>
      </c>
      <c r="C776" s="7" t="s">
        <v>1586</v>
      </c>
      <c r="D776" s="7" t="s">
        <v>30</v>
      </c>
      <c r="E776" s="7" t="s">
        <v>35</v>
      </c>
      <c r="F776" s="8">
        <v>36452</v>
      </c>
      <c r="G776" s="7">
        <f t="shared" ca="1" si="48"/>
        <v>26.55</v>
      </c>
      <c r="H776" s="7" t="s">
        <v>18</v>
      </c>
      <c r="I776" s="7" t="s">
        <v>25</v>
      </c>
      <c r="J776" s="7" t="s">
        <v>26</v>
      </c>
      <c r="K776" s="7" t="s">
        <v>26</v>
      </c>
      <c r="L776" s="8">
        <v>45498</v>
      </c>
      <c r="M776" s="7">
        <f t="shared" ca="1" si="49"/>
        <v>1.7833333333333334</v>
      </c>
      <c r="N776" s="7">
        <v>5611</v>
      </c>
      <c r="O776" s="7" t="str">
        <f t="shared" si="50"/>
        <v>يوليو</v>
      </c>
      <c r="P776" s="7" t="str">
        <f t="shared" si="51"/>
        <v>راتب عالي</v>
      </c>
    </row>
    <row r="777" spans="1:16" x14ac:dyDescent="0.3">
      <c r="A777" s="9">
        <v>56309</v>
      </c>
      <c r="B777" s="9" t="s">
        <v>1587</v>
      </c>
      <c r="C777" s="9" t="s">
        <v>1588</v>
      </c>
      <c r="D777" s="9" t="s">
        <v>16</v>
      </c>
      <c r="E777" s="9" t="s">
        <v>17</v>
      </c>
      <c r="F777" s="10">
        <v>33036</v>
      </c>
      <c r="G777" s="7">
        <f t="shared" ca="1" si="48"/>
        <v>35.902777777777779</v>
      </c>
      <c r="H777" s="9" t="s">
        <v>18</v>
      </c>
      <c r="I777" s="9" t="s">
        <v>46</v>
      </c>
      <c r="J777" s="9" t="s">
        <v>26</v>
      </c>
      <c r="K777" s="9" t="s">
        <v>37</v>
      </c>
      <c r="L777" s="10">
        <v>45499</v>
      </c>
      <c r="M777" s="9">
        <f t="shared" ca="1" si="49"/>
        <v>1.7805555555555554</v>
      </c>
      <c r="N777" s="9">
        <v>11521</v>
      </c>
      <c r="O777" s="9" t="str">
        <f t="shared" si="50"/>
        <v>يوليو</v>
      </c>
      <c r="P777" s="7" t="str">
        <f t="shared" si="51"/>
        <v>راتب طبيعي</v>
      </c>
    </row>
    <row r="778" spans="1:16" x14ac:dyDescent="0.3">
      <c r="A778" s="7">
        <v>54769</v>
      </c>
      <c r="B778" s="7" t="s">
        <v>1589</v>
      </c>
      <c r="C778" s="7" t="s">
        <v>1590</v>
      </c>
      <c r="D778" s="7" t="s">
        <v>40</v>
      </c>
      <c r="E778" s="7" t="s">
        <v>35</v>
      </c>
      <c r="F778" s="8">
        <v>32555</v>
      </c>
      <c r="G778" s="7">
        <f t="shared" ca="1" si="48"/>
        <v>37.225000000000001</v>
      </c>
      <c r="H778" s="7" t="s">
        <v>18</v>
      </c>
      <c r="I778" s="7" t="s">
        <v>25</v>
      </c>
      <c r="J778" s="7" t="s">
        <v>27</v>
      </c>
      <c r="K778" s="7" t="s">
        <v>31</v>
      </c>
      <c r="L778" s="8">
        <v>45500</v>
      </c>
      <c r="M778" s="7">
        <f t="shared" ca="1" si="49"/>
        <v>1.7777777777777777</v>
      </c>
      <c r="N778" s="7">
        <v>4757</v>
      </c>
      <c r="O778" s="7" t="str">
        <f t="shared" si="50"/>
        <v>يوليو</v>
      </c>
      <c r="P778" s="7" t="str">
        <f t="shared" si="51"/>
        <v>راتب عالي</v>
      </c>
    </row>
    <row r="779" spans="1:16" x14ac:dyDescent="0.3">
      <c r="A779" s="9">
        <v>56735</v>
      </c>
      <c r="B779" s="9" t="s">
        <v>1591</v>
      </c>
      <c r="C779" s="9" t="s">
        <v>1592</v>
      </c>
      <c r="D779" s="9" t="s">
        <v>40</v>
      </c>
      <c r="E779" s="9" t="s">
        <v>35</v>
      </c>
      <c r="F779" s="10">
        <v>33786</v>
      </c>
      <c r="G779" s="7">
        <f t="shared" ca="1" si="48"/>
        <v>33.85</v>
      </c>
      <c r="H779" s="9" t="s">
        <v>36</v>
      </c>
      <c r="I779" s="9" t="s">
        <v>46</v>
      </c>
      <c r="J779" s="9" t="s">
        <v>26</v>
      </c>
      <c r="K779" s="9" t="s">
        <v>26</v>
      </c>
      <c r="L779" s="10">
        <v>45501</v>
      </c>
      <c r="M779" s="9">
        <f t="shared" ca="1" si="49"/>
        <v>1.7749999999999999</v>
      </c>
      <c r="N779" s="9">
        <v>10685</v>
      </c>
      <c r="O779" s="9" t="str">
        <f t="shared" si="50"/>
        <v>يوليو</v>
      </c>
      <c r="P779" s="7" t="str">
        <f t="shared" si="51"/>
        <v>راتب طبيعي</v>
      </c>
    </row>
    <row r="780" spans="1:16" x14ac:dyDescent="0.3">
      <c r="A780" s="7">
        <v>51229</v>
      </c>
      <c r="B780" s="7" t="s">
        <v>1593</v>
      </c>
      <c r="C780" s="7" t="s">
        <v>1594</v>
      </c>
      <c r="D780" s="7" t="s">
        <v>40</v>
      </c>
      <c r="E780" s="7" t="s">
        <v>35</v>
      </c>
      <c r="F780" s="8">
        <v>36227</v>
      </c>
      <c r="G780" s="7">
        <f t="shared" ca="1" si="48"/>
        <v>27.163888888888888</v>
      </c>
      <c r="H780" s="7" t="s">
        <v>18</v>
      </c>
      <c r="I780" s="7" t="s">
        <v>19</v>
      </c>
      <c r="J780" s="7" t="s">
        <v>31</v>
      </c>
      <c r="K780" s="7" t="s">
        <v>26</v>
      </c>
      <c r="L780" s="8">
        <v>45502</v>
      </c>
      <c r="M780" s="7">
        <f t="shared" ca="1" si="49"/>
        <v>1.7722222222222221</v>
      </c>
      <c r="N780" s="7">
        <v>22145</v>
      </c>
      <c r="O780" s="7" t="str">
        <f t="shared" si="50"/>
        <v>يوليو</v>
      </c>
      <c r="P780" s="7" t="str">
        <f t="shared" si="51"/>
        <v>راتب طبيعي</v>
      </c>
    </row>
    <row r="781" spans="1:16" x14ac:dyDescent="0.3">
      <c r="A781" s="9">
        <v>56283</v>
      </c>
      <c r="B781" s="9" t="s">
        <v>1595</v>
      </c>
      <c r="C781" s="9" t="s">
        <v>1596</v>
      </c>
      <c r="D781" s="9" t="s">
        <v>16</v>
      </c>
      <c r="E781" s="9" t="s">
        <v>35</v>
      </c>
      <c r="F781" s="10">
        <v>33366</v>
      </c>
      <c r="G781" s="7">
        <f t="shared" ca="1" si="48"/>
        <v>34.99722222222222</v>
      </c>
      <c r="H781" s="9" t="s">
        <v>36</v>
      </c>
      <c r="I781" s="9" t="s">
        <v>25</v>
      </c>
      <c r="J781" s="9" t="s">
        <v>20</v>
      </c>
      <c r="K781" s="9" t="s">
        <v>20</v>
      </c>
      <c r="L781" s="10">
        <v>45503</v>
      </c>
      <c r="M781" s="9">
        <f t="shared" ca="1" si="49"/>
        <v>1.7694444444444444</v>
      </c>
      <c r="N781" s="9">
        <v>5345</v>
      </c>
      <c r="O781" s="9" t="str">
        <f t="shared" si="50"/>
        <v>يوليو</v>
      </c>
      <c r="P781" s="7" t="str">
        <f t="shared" si="51"/>
        <v>راتب عالي</v>
      </c>
    </row>
    <row r="782" spans="1:16" x14ac:dyDescent="0.3">
      <c r="A782" s="7">
        <v>58328</v>
      </c>
      <c r="B782" s="7" t="s">
        <v>1597</v>
      </c>
      <c r="C782" s="7" t="s">
        <v>1598</v>
      </c>
      <c r="D782" s="7" t="s">
        <v>146</v>
      </c>
      <c r="E782" s="7" t="s">
        <v>35</v>
      </c>
      <c r="F782" s="8">
        <v>31566</v>
      </c>
      <c r="G782" s="7">
        <f t="shared" ca="1" si="48"/>
        <v>39.927777777777777</v>
      </c>
      <c r="H782" s="7" t="s">
        <v>36</v>
      </c>
      <c r="I782" s="7" t="s">
        <v>19</v>
      </c>
      <c r="J782" s="7" t="s">
        <v>21</v>
      </c>
      <c r="K782" s="7" t="s">
        <v>37</v>
      </c>
      <c r="L782" s="8">
        <v>45504</v>
      </c>
      <c r="M782" s="7">
        <f t="shared" ca="1" si="49"/>
        <v>1.7694444444444444</v>
      </c>
      <c r="N782" s="7">
        <v>23490</v>
      </c>
      <c r="O782" s="7" t="str">
        <f t="shared" si="50"/>
        <v>يوليو</v>
      </c>
      <c r="P782" s="7" t="str">
        <f t="shared" si="51"/>
        <v>راتب طبيعي</v>
      </c>
    </row>
    <row r="783" spans="1:16" x14ac:dyDescent="0.3">
      <c r="A783" s="9">
        <v>59992</v>
      </c>
      <c r="B783" s="9" t="s">
        <v>1599</v>
      </c>
      <c r="C783" s="9" t="s">
        <v>1600</v>
      </c>
      <c r="D783" s="9" t="s">
        <v>30</v>
      </c>
      <c r="E783" s="9" t="s">
        <v>35</v>
      </c>
      <c r="F783" s="10">
        <v>37633</v>
      </c>
      <c r="G783" s="7">
        <f t="shared" ca="1" si="48"/>
        <v>23.319444444444443</v>
      </c>
      <c r="H783" s="9" t="s">
        <v>18</v>
      </c>
      <c r="I783" s="9" t="s">
        <v>25</v>
      </c>
      <c r="J783" s="9" t="s">
        <v>20</v>
      </c>
      <c r="K783" s="9" t="s">
        <v>21</v>
      </c>
      <c r="L783" s="10">
        <v>45505</v>
      </c>
      <c r="M783" s="9">
        <f t="shared" ca="1" si="49"/>
        <v>1.7666666666666666</v>
      </c>
      <c r="N783" s="9">
        <v>5108</v>
      </c>
      <c r="O783" s="9" t="str">
        <f t="shared" si="50"/>
        <v>أغسطس</v>
      </c>
      <c r="P783" s="7" t="str">
        <f t="shared" si="51"/>
        <v>راتب عالي</v>
      </c>
    </row>
    <row r="784" spans="1:16" x14ac:dyDescent="0.3">
      <c r="A784" s="7">
        <v>58302</v>
      </c>
      <c r="B784" s="7" t="s">
        <v>1601</v>
      </c>
      <c r="C784" s="7" t="s">
        <v>1602</v>
      </c>
      <c r="D784" s="7" t="s">
        <v>40</v>
      </c>
      <c r="E784" s="7" t="s">
        <v>17</v>
      </c>
      <c r="F784" s="8">
        <v>31391</v>
      </c>
      <c r="G784" s="7">
        <f t="shared" ca="1" si="48"/>
        <v>40.408333333333331</v>
      </c>
      <c r="H784" s="7" t="s">
        <v>18</v>
      </c>
      <c r="I784" s="7" t="s">
        <v>25</v>
      </c>
      <c r="J784" s="7" t="s">
        <v>27</v>
      </c>
      <c r="K784" s="7" t="s">
        <v>26</v>
      </c>
      <c r="L784" s="8">
        <v>45506</v>
      </c>
      <c r="M784" s="7">
        <f t="shared" ca="1" si="49"/>
        <v>1.7638888888888888</v>
      </c>
      <c r="N784" s="7">
        <v>4394</v>
      </c>
      <c r="O784" s="7" t="str">
        <f t="shared" si="50"/>
        <v>أغسطس</v>
      </c>
      <c r="P784" s="7" t="str">
        <f t="shared" si="51"/>
        <v>راتب عالي</v>
      </c>
    </row>
    <row r="785" spans="1:16" x14ac:dyDescent="0.3">
      <c r="A785" s="9">
        <v>56662</v>
      </c>
      <c r="B785" s="9" t="s">
        <v>1603</v>
      </c>
      <c r="C785" s="9" t="s">
        <v>1604</v>
      </c>
      <c r="D785" s="9" t="s">
        <v>43</v>
      </c>
      <c r="E785" s="9" t="s">
        <v>35</v>
      </c>
      <c r="F785" s="10">
        <v>31673</v>
      </c>
      <c r="G785" s="7">
        <f t="shared" ca="1" si="48"/>
        <v>39.636111111111113</v>
      </c>
      <c r="H785" s="9" t="s">
        <v>18</v>
      </c>
      <c r="I785" s="9" t="s">
        <v>25</v>
      </c>
      <c r="J785" s="9" t="s">
        <v>27</v>
      </c>
      <c r="K785" s="9" t="s">
        <v>21</v>
      </c>
      <c r="L785" s="10">
        <v>45507</v>
      </c>
      <c r="M785" s="9">
        <f t="shared" ca="1" si="49"/>
        <v>1.7611111111111111</v>
      </c>
      <c r="N785" s="9">
        <v>4019</v>
      </c>
      <c r="O785" s="9" t="str">
        <f t="shared" si="50"/>
        <v>أغسطس</v>
      </c>
      <c r="P785" s="7" t="str">
        <f t="shared" si="51"/>
        <v>راتب عالي</v>
      </c>
    </row>
    <row r="786" spans="1:16" x14ac:dyDescent="0.3">
      <c r="A786" s="7">
        <v>50601</v>
      </c>
      <c r="B786" s="7" t="s">
        <v>1605</v>
      </c>
      <c r="C786" s="7" t="s">
        <v>1606</v>
      </c>
      <c r="D786" s="7" t="s">
        <v>66</v>
      </c>
      <c r="E786" s="7" t="s">
        <v>35</v>
      </c>
      <c r="F786" s="8">
        <v>30228</v>
      </c>
      <c r="G786" s="7">
        <f t="shared" ca="1" si="48"/>
        <v>43.591666666666669</v>
      </c>
      <c r="H786" s="7" t="s">
        <v>18</v>
      </c>
      <c r="I786" s="7" t="s">
        <v>25</v>
      </c>
      <c r="J786" s="7" t="s">
        <v>21</v>
      </c>
      <c r="K786" s="7" t="s">
        <v>26</v>
      </c>
      <c r="L786" s="8">
        <v>45508</v>
      </c>
      <c r="M786" s="7">
        <f t="shared" ca="1" si="49"/>
        <v>1.7583333333333333</v>
      </c>
      <c r="N786" s="7">
        <v>6363</v>
      </c>
      <c r="O786" s="7" t="str">
        <f t="shared" si="50"/>
        <v>أغسطس</v>
      </c>
      <c r="P786" s="7" t="str">
        <f t="shared" si="51"/>
        <v>راتب طبيعي</v>
      </c>
    </row>
    <row r="787" spans="1:16" x14ac:dyDescent="0.3">
      <c r="A787" s="9">
        <v>59583</v>
      </c>
      <c r="B787" s="9" t="s">
        <v>1607</v>
      </c>
      <c r="C787" s="9" t="s">
        <v>1608</v>
      </c>
      <c r="D787" s="9" t="s">
        <v>53</v>
      </c>
      <c r="E787" s="9" t="s">
        <v>35</v>
      </c>
      <c r="F787" s="10">
        <v>32944</v>
      </c>
      <c r="G787" s="7">
        <f t="shared" ca="1" si="48"/>
        <v>36.152777777777779</v>
      </c>
      <c r="H787" s="9" t="s">
        <v>36</v>
      </c>
      <c r="I787" s="9" t="s">
        <v>25</v>
      </c>
      <c r="J787" s="9" t="s">
        <v>31</v>
      </c>
      <c r="K787" s="9" t="s">
        <v>27</v>
      </c>
      <c r="L787" s="10">
        <v>45509</v>
      </c>
      <c r="M787" s="9">
        <f t="shared" ca="1" si="49"/>
        <v>1.7555555555555555</v>
      </c>
      <c r="N787" s="9">
        <v>6511</v>
      </c>
      <c r="O787" s="9" t="str">
        <f t="shared" si="50"/>
        <v>أغسطس</v>
      </c>
      <c r="P787" s="7" t="str">
        <f t="shared" si="51"/>
        <v>راتب طبيعي</v>
      </c>
    </row>
    <row r="788" spans="1:16" x14ac:dyDescent="0.3">
      <c r="A788" s="7">
        <v>50406</v>
      </c>
      <c r="B788" s="7" t="s">
        <v>1609</v>
      </c>
      <c r="C788" s="7" t="s">
        <v>1610</v>
      </c>
      <c r="D788" s="7" t="s">
        <v>95</v>
      </c>
      <c r="E788" s="7" t="s">
        <v>35</v>
      </c>
      <c r="F788" s="8">
        <v>32678</v>
      </c>
      <c r="G788" s="7">
        <f t="shared" ca="1" si="48"/>
        <v>36.883333333333333</v>
      </c>
      <c r="H788" s="7" t="s">
        <v>18</v>
      </c>
      <c r="I788" s="7" t="s">
        <v>25</v>
      </c>
      <c r="J788" s="7" t="s">
        <v>26</v>
      </c>
      <c r="K788" s="7" t="s">
        <v>31</v>
      </c>
      <c r="L788" s="8">
        <v>45510</v>
      </c>
      <c r="M788" s="7">
        <f t="shared" ca="1" si="49"/>
        <v>1.7527777777777778</v>
      </c>
      <c r="N788" s="7">
        <v>6434</v>
      </c>
      <c r="O788" s="7" t="str">
        <f t="shared" si="50"/>
        <v>أغسطس</v>
      </c>
      <c r="P788" s="7" t="str">
        <f t="shared" si="51"/>
        <v>راتب طبيعي</v>
      </c>
    </row>
    <row r="789" spans="1:16" x14ac:dyDescent="0.3">
      <c r="A789" s="9">
        <v>54834</v>
      </c>
      <c r="B789" s="9" t="s">
        <v>1611</v>
      </c>
      <c r="C789" s="9" t="s">
        <v>1612</v>
      </c>
      <c r="D789" s="9" t="s">
        <v>66</v>
      </c>
      <c r="E789" s="9" t="s">
        <v>35</v>
      </c>
      <c r="F789" s="10">
        <v>37844</v>
      </c>
      <c r="G789" s="7">
        <f t="shared" ca="1" si="48"/>
        <v>22.738888888888887</v>
      </c>
      <c r="H789" s="9" t="s">
        <v>36</v>
      </c>
      <c r="I789" s="9" t="s">
        <v>25</v>
      </c>
      <c r="J789" s="9" t="s">
        <v>20</v>
      </c>
      <c r="K789" s="9" t="s">
        <v>20</v>
      </c>
      <c r="L789" s="10">
        <v>45511</v>
      </c>
      <c r="M789" s="9">
        <f t="shared" ca="1" si="49"/>
        <v>1.75</v>
      </c>
      <c r="N789" s="9">
        <v>6696</v>
      </c>
      <c r="O789" s="9" t="str">
        <f t="shared" si="50"/>
        <v>أغسطس</v>
      </c>
      <c r="P789" s="7" t="str">
        <f t="shared" si="51"/>
        <v>راتب طبيعي</v>
      </c>
    </row>
    <row r="790" spans="1:16" x14ac:dyDescent="0.3">
      <c r="A790" s="7">
        <v>50704</v>
      </c>
      <c r="B790" s="7" t="s">
        <v>1613</v>
      </c>
      <c r="C790" s="7" t="s">
        <v>1614</v>
      </c>
      <c r="D790" s="7" t="s">
        <v>146</v>
      </c>
      <c r="E790" s="7" t="s">
        <v>17</v>
      </c>
      <c r="F790" s="8">
        <v>32558</v>
      </c>
      <c r="G790" s="7">
        <f t="shared" ca="1" si="48"/>
        <v>37.216666666666669</v>
      </c>
      <c r="H790" s="7" t="s">
        <v>36</v>
      </c>
      <c r="I790" s="7" t="s">
        <v>46</v>
      </c>
      <c r="J790" s="7" t="s">
        <v>21</v>
      </c>
      <c r="K790" s="7" t="s">
        <v>26</v>
      </c>
      <c r="L790" s="8">
        <v>45512</v>
      </c>
      <c r="M790" s="7">
        <f t="shared" ca="1" si="49"/>
        <v>1.7472222222222222</v>
      </c>
      <c r="N790" s="7">
        <v>14917</v>
      </c>
      <c r="O790" s="7" t="str">
        <f t="shared" si="50"/>
        <v>أغسطس</v>
      </c>
      <c r="P790" s="7" t="str">
        <f t="shared" si="51"/>
        <v>راتب طبيعي</v>
      </c>
    </row>
    <row r="791" spans="1:16" x14ac:dyDescent="0.3">
      <c r="A791" s="9">
        <v>55238</v>
      </c>
      <c r="B791" s="9" t="s">
        <v>1615</v>
      </c>
      <c r="C791" s="9" t="s">
        <v>1616</v>
      </c>
      <c r="D791" s="9" t="s">
        <v>34</v>
      </c>
      <c r="E791" s="9" t="s">
        <v>17</v>
      </c>
      <c r="F791" s="10">
        <v>33072</v>
      </c>
      <c r="G791" s="7">
        <f t="shared" ca="1" si="48"/>
        <v>35.802777777777777</v>
      </c>
      <c r="H791" s="9" t="s">
        <v>36</v>
      </c>
      <c r="I791" s="9" t="s">
        <v>46</v>
      </c>
      <c r="J791" s="9" t="s">
        <v>27</v>
      </c>
      <c r="K791" s="9" t="s">
        <v>26</v>
      </c>
      <c r="L791" s="10">
        <v>45513</v>
      </c>
      <c r="M791" s="9">
        <f t="shared" ca="1" si="49"/>
        <v>1.7444444444444445</v>
      </c>
      <c r="N791" s="9">
        <v>14641</v>
      </c>
      <c r="O791" s="9" t="str">
        <f t="shared" si="50"/>
        <v>أغسطس</v>
      </c>
      <c r="P791" s="7" t="str">
        <f t="shared" si="51"/>
        <v>راتب طبيعي</v>
      </c>
    </row>
    <row r="792" spans="1:16" x14ac:dyDescent="0.3">
      <c r="A792" s="7">
        <v>55816</v>
      </c>
      <c r="B792" s="7" t="s">
        <v>1617</v>
      </c>
      <c r="C792" s="7" t="s">
        <v>1618</v>
      </c>
      <c r="D792" s="7" t="s">
        <v>16</v>
      </c>
      <c r="E792" s="7" t="s">
        <v>17</v>
      </c>
      <c r="F792" s="8">
        <v>34295</v>
      </c>
      <c r="G792" s="7">
        <f t="shared" ca="1" si="48"/>
        <v>32.458333333333336</v>
      </c>
      <c r="H792" s="7" t="s">
        <v>36</v>
      </c>
      <c r="I792" s="7" t="s">
        <v>25</v>
      </c>
      <c r="J792" s="7" t="s">
        <v>20</v>
      </c>
      <c r="K792" s="7" t="s">
        <v>21</v>
      </c>
      <c r="L792" s="8">
        <v>45514</v>
      </c>
      <c r="M792" s="7">
        <f t="shared" ca="1" si="49"/>
        <v>1.7416666666666667</v>
      </c>
      <c r="N792" s="7">
        <v>6835</v>
      </c>
      <c r="O792" s="7" t="str">
        <f t="shared" si="50"/>
        <v>أغسطس</v>
      </c>
      <c r="P792" s="7" t="str">
        <f t="shared" si="51"/>
        <v>راتب طبيعي</v>
      </c>
    </row>
    <row r="793" spans="1:16" x14ac:dyDescent="0.3">
      <c r="A793" s="9">
        <v>55965</v>
      </c>
      <c r="B793" s="9" t="s">
        <v>1619</v>
      </c>
      <c r="C793" s="9" t="s">
        <v>1620</v>
      </c>
      <c r="D793" s="9" t="s">
        <v>95</v>
      </c>
      <c r="E793" s="9" t="s">
        <v>35</v>
      </c>
      <c r="F793" s="10">
        <v>36269</v>
      </c>
      <c r="G793" s="7">
        <f t="shared" ca="1" si="48"/>
        <v>27.05</v>
      </c>
      <c r="H793" s="9" t="s">
        <v>36</v>
      </c>
      <c r="I793" s="9" t="s">
        <v>25</v>
      </c>
      <c r="J793" s="9" t="s">
        <v>21</v>
      </c>
      <c r="K793" s="9" t="s">
        <v>21</v>
      </c>
      <c r="L793" s="10">
        <v>45515</v>
      </c>
      <c r="M793" s="9">
        <f t="shared" ca="1" si="49"/>
        <v>1.7388888888888889</v>
      </c>
      <c r="N793" s="9">
        <v>3196</v>
      </c>
      <c r="O793" s="9" t="str">
        <f t="shared" si="50"/>
        <v>أغسطس</v>
      </c>
      <c r="P793" s="7" t="str">
        <f t="shared" si="51"/>
        <v>راتب عالي</v>
      </c>
    </row>
    <row r="794" spans="1:16" x14ac:dyDescent="0.3">
      <c r="A794" s="7">
        <v>59402</v>
      </c>
      <c r="B794" s="7" t="s">
        <v>1621</v>
      </c>
      <c r="C794" s="7" t="s">
        <v>1622</v>
      </c>
      <c r="D794" s="7" t="s">
        <v>95</v>
      </c>
      <c r="E794" s="7" t="s">
        <v>35</v>
      </c>
      <c r="F794" s="8">
        <v>34582</v>
      </c>
      <c r="G794" s="7">
        <f t="shared" ca="1" si="48"/>
        <v>31.672222222222221</v>
      </c>
      <c r="H794" s="7" t="s">
        <v>36</v>
      </c>
      <c r="I794" s="7" t="s">
        <v>46</v>
      </c>
      <c r="J794" s="7" t="s">
        <v>26</v>
      </c>
      <c r="K794" s="7" t="s">
        <v>27</v>
      </c>
      <c r="L794" s="8">
        <v>45516</v>
      </c>
      <c r="M794" s="7">
        <f t="shared" ca="1" si="49"/>
        <v>1.7361111111111112</v>
      </c>
      <c r="N794" s="7">
        <v>10570</v>
      </c>
      <c r="O794" s="7" t="str">
        <f t="shared" si="50"/>
        <v>أغسطس</v>
      </c>
      <c r="P794" s="7" t="str">
        <f t="shared" si="51"/>
        <v>راتب طبيعي</v>
      </c>
    </row>
    <row r="795" spans="1:16" x14ac:dyDescent="0.3">
      <c r="A795" s="9">
        <v>59992</v>
      </c>
      <c r="B795" s="9" t="s">
        <v>1623</v>
      </c>
      <c r="C795" s="9" t="s">
        <v>1624</v>
      </c>
      <c r="D795" s="9" t="s">
        <v>40</v>
      </c>
      <c r="E795" s="9" t="s">
        <v>17</v>
      </c>
      <c r="F795" s="10">
        <v>30554</v>
      </c>
      <c r="G795" s="7">
        <f t="shared" ca="1" si="48"/>
        <v>42.697222222222223</v>
      </c>
      <c r="H795" s="9" t="s">
        <v>36</v>
      </c>
      <c r="I795" s="9" t="s">
        <v>25</v>
      </c>
      <c r="J795" s="9" t="s">
        <v>27</v>
      </c>
      <c r="K795" s="9" t="s">
        <v>21</v>
      </c>
      <c r="L795" s="10">
        <v>45517</v>
      </c>
      <c r="M795" s="9">
        <f t="shared" ca="1" si="49"/>
        <v>1.7333333333333334</v>
      </c>
      <c r="N795" s="9">
        <v>3266</v>
      </c>
      <c r="O795" s="9" t="str">
        <f t="shared" si="50"/>
        <v>أغسطس</v>
      </c>
      <c r="P795" s="7" t="str">
        <f t="shared" si="51"/>
        <v>راتب عالي</v>
      </c>
    </row>
    <row r="796" spans="1:16" x14ac:dyDescent="0.3">
      <c r="A796" s="7">
        <v>50778</v>
      </c>
      <c r="B796" s="7" t="s">
        <v>1625</v>
      </c>
      <c r="C796" s="7" t="s">
        <v>1626</v>
      </c>
      <c r="D796" s="7" t="s">
        <v>40</v>
      </c>
      <c r="E796" s="7" t="s">
        <v>35</v>
      </c>
      <c r="F796" s="8">
        <v>34814</v>
      </c>
      <c r="G796" s="7">
        <f t="shared" ca="1" si="48"/>
        <v>31.033333333333335</v>
      </c>
      <c r="H796" s="7" t="s">
        <v>36</v>
      </c>
      <c r="I796" s="7" t="s">
        <v>25</v>
      </c>
      <c r="J796" s="7" t="s">
        <v>31</v>
      </c>
      <c r="K796" s="7" t="s">
        <v>20</v>
      </c>
      <c r="L796" s="8">
        <v>45518</v>
      </c>
      <c r="M796" s="7">
        <f t="shared" ca="1" si="49"/>
        <v>1.7305555555555556</v>
      </c>
      <c r="N796" s="7">
        <v>6674</v>
      </c>
      <c r="O796" s="7" t="str">
        <f t="shared" si="50"/>
        <v>أغسطس</v>
      </c>
      <c r="P796" s="7" t="str">
        <f t="shared" si="51"/>
        <v>راتب طبيعي</v>
      </c>
    </row>
    <row r="797" spans="1:16" x14ac:dyDescent="0.3">
      <c r="A797" s="9">
        <v>50065</v>
      </c>
      <c r="B797" s="9" t="s">
        <v>1627</v>
      </c>
      <c r="C797" s="9" t="s">
        <v>1628</v>
      </c>
      <c r="D797" s="9" t="s">
        <v>40</v>
      </c>
      <c r="E797" s="9" t="s">
        <v>17</v>
      </c>
      <c r="F797" s="10">
        <v>36638</v>
      </c>
      <c r="G797" s="7">
        <f t="shared" ca="1" si="48"/>
        <v>26.041666666666668</v>
      </c>
      <c r="H797" s="9" t="s">
        <v>36</v>
      </c>
      <c r="I797" s="9" t="s">
        <v>25</v>
      </c>
      <c r="J797" s="9" t="s">
        <v>26</v>
      </c>
      <c r="K797" s="9" t="s">
        <v>20</v>
      </c>
      <c r="L797" s="10">
        <v>45519</v>
      </c>
      <c r="M797" s="9">
        <f t="shared" ca="1" si="49"/>
        <v>1.7277777777777779</v>
      </c>
      <c r="N797" s="9">
        <v>5613</v>
      </c>
      <c r="O797" s="9" t="str">
        <f t="shared" si="50"/>
        <v>أغسطس</v>
      </c>
      <c r="P797" s="7" t="str">
        <f t="shared" si="51"/>
        <v>راتب عالي</v>
      </c>
    </row>
    <row r="798" spans="1:16" x14ac:dyDescent="0.3">
      <c r="A798" s="7">
        <v>53788</v>
      </c>
      <c r="B798" s="7" t="s">
        <v>1629</v>
      </c>
      <c r="C798" s="7" t="s">
        <v>1630</v>
      </c>
      <c r="D798" s="7" t="s">
        <v>95</v>
      </c>
      <c r="E798" s="7" t="s">
        <v>17</v>
      </c>
      <c r="F798" s="8">
        <v>30012</v>
      </c>
      <c r="G798" s="7">
        <f t="shared" ca="1" si="48"/>
        <v>44.180555555555557</v>
      </c>
      <c r="H798" s="7" t="s">
        <v>18</v>
      </c>
      <c r="I798" s="7" t="s">
        <v>25</v>
      </c>
      <c r="J798" s="7" t="s">
        <v>27</v>
      </c>
      <c r="K798" s="7" t="s">
        <v>21</v>
      </c>
      <c r="L798" s="8">
        <v>45520</v>
      </c>
      <c r="M798" s="7">
        <f t="shared" ca="1" si="49"/>
        <v>1.7250000000000001</v>
      </c>
      <c r="N798" s="7">
        <v>3389</v>
      </c>
      <c r="O798" s="7" t="str">
        <f t="shared" si="50"/>
        <v>أغسطس</v>
      </c>
      <c r="P798" s="7" t="str">
        <f t="shared" si="51"/>
        <v>راتب عالي</v>
      </c>
    </row>
    <row r="799" spans="1:16" x14ac:dyDescent="0.3">
      <c r="A799" s="9">
        <v>59215</v>
      </c>
      <c r="B799" s="9" t="s">
        <v>1631</v>
      </c>
      <c r="C799" s="9" t="s">
        <v>1632</v>
      </c>
      <c r="D799" s="9" t="s">
        <v>146</v>
      </c>
      <c r="E799" s="9" t="s">
        <v>17</v>
      </c>
      <c r="F799" s="10">
        <v>33288</v>
      </c>
      <c r="G799" s="7">
        <f t="shared" ca="1" si="48"/>
        <v>35.216666666666669</v>
      </c>
      <c r="H799" s="9" t="s">
        <v>36</v>
      </c>
      <c r="I799" s="9" t="s">
        <v>19</v>
      </c>
      <c r="J799" s="9" t="s">
        <v>27</v>
      </c>
      <c r="K799" s="9" t="s">
        <v>20</v>
      </c>
      <c r="L799" s="10">
        <v>45521</v>
      </c>
      <c r="M799" s="9">
        <f t="shared" ca="1" si="49"/>
        <v>1.7222222222222223</v>
      </c>
      <c r="N799" s="9">
        <v>20692</v>
      </c>
      <c r="O799" s="9" t="str">
        <f t="shared" si="50"/>
        <v>أغسطس</v>
      </c>
      <c r="P799" s="7" t="str">
        <f t="shared" si="51"/>
        <v>راتب طبيعي</v>
      </c>
    </row>
    <row r="800" spans="1:16" x14ac:dyDescent="0.3">
      <c r="A800" s="7">
        <v>56567</v>
      </c>
      <c r="B800" s="7" t="s">
        <v>1633</v>
      </c>
      <c r="C800" s="7" t="s">
        <v>1634</v>
      </c>
      <c r="D800" s="7" t="s">
        <v>146</v>
      </c>
      <c r="E800" s="7" t="s">
        <v>35</v>
      </c>
      <c r="F800" s="8">
        <v>32025</v>
      </c>
      <c r="G800" s="7">
        <f t="shared" ca="1" si="48"/>
        <v>38.672222222222224</v>
      </c>
      <c r="H800" s="7" t="s">
        <v>18</v>
      </c>
      <c r="I800" s="7" t="s">
        <v>25</v>
      </c>
      <c r="J800" s="7" t="s">
        <v>21</v>
      </c>
      <c r="K800" s="7" t="s">
        <v>26</v>
      </c>
      <c r="L800" s="8">
        <v>45522</v>
      </c>
      <c r="M800" s="7">
        <f t="shared" ca="1" si="49"/>
        <v>1.7194444444444446</v>
      </c>
      <c r="N800" s="7">
        <v>3492</v>
      </c>
      <c r="O800" s="7" t="str">
        <f t="shared" si="50"/>
        <v>أغسطس</v>
      </c>
      <c r="P800" s="7" t="str">
        <f t="shared" si="51"/>
        <v>راتب عالي</v>
      </c>
    </row>
    <row r="801" spans="1:16" x14ac:dyDescent="0.3">
      <c r="A801" s="9">
        <v>55415</v>
      </c>
      <c r="B801" s="9" t="s">
        <v>1635</v>
      </c>
      <c r="C801" s="9" t="s">
        <v>1636</v>
      </c>
      <c r="D801" s="9" t="s">
        <v>66</v>
      </c>
      <c r="E801" s="9" t="s">
        <v>35</v>
      </c>
      <c r="F801" s="10">
        <v>30250</v>
      </c>
      <c r="G801" s="7">
        <f t="shared" ca="1" si="48"/>
        <v>43.530555555555559</v>
      </c>
      <c r="H801" s="9" t="s">
        <v>36</v>
      </c>
      <c r="I801" s="9" t="s">
        <v>25</v>
      </c>
      <c r="J801" s="9" t="s">
        <v>27</v>
      </c>
      <c r="K801" s="9" t="s">
        <v>20</v>
      </c>
      <c r="L801" s="10">
        <v>45523</v>
      </c>
      <c r="M801" s="9">
        <f t="shared" ca="1" si="49"/>
        <v>1.7166666666666666</v>
      </c>
      <c r="N801" s="9">
        <v>4296</v>
      </c>
      <c r="O801" s="9" t="str">
        <f t="shared" si="50"/>
        <v>أغسطس</v>
      </c>
      <c r="P801" s="7" t="str">
        <f t="shared" si="51"/>
        <v>راتب عالي</v>
      </c>
    </row>
    <row r="802" spans="1:16" x14ac:dyDescent="0.3">
      <c r="A802" s="7">
        <v>51716</v>
      </c>
      <c r="B802" s="7" t="s">
        <v>1637</v>
      </c>
      <c r="C802" s="7" t="s">
        <v>1638</v>
      </c>
      <c r="D802" s="7" t="s">
        <v>30</v>
      </c>
      <c r="E802" s="7" t="s">
        <v>17</v>
      </c>
      <c r="F802" s="8">
        <v>35833</v>
      </c>
      <c r="G802" s="7">
        <f t="shared" ca="1" si="48"/>
        <v>28.25</v>
      </c>
      <c r="H802" s="7" t="s">
        <v>36</v>
      </c>
      <c r="I802" s="7" t="s">
        <v>25</v>
      </c>
      <c r="J802" s="7" t="s">
        <v>20</v>
      </c>
      <c r="K802" s="7" t="s">
        <v>31</v>
      </c>
      <c r="L802" s="8">
        <v>45524</v>
      </c>
      <c r="M802" s="7">
        <f t="shared" ca="1" si="49"/>
        <v>1.7138888888888888</v>
      </c>
      <c r="N802" s="7">
        <v>4275</v>
      </c>
      <c r="O802" s="7" t="str">
        <f t="shared" si="50"/>
        <v>أغسطس</v>
      </c>
      <c r="P802" s="7" t="str">
        <f t="shared" si="51"/>
        <v>راتب عالي</v>
      </c>
    </row>
    <row r="803" spans="1:16" x14ac:dyDescent="0.3">
      <c r="A803" s="9">
        <v>52547</v>
      </c>
      <c r="B803" s="9" t="s">
        <v>1639</v>
      </c>
      <c r="C803" s="9" t="s">
        <v>1640</v>
      </c>
      <c r="D803" s="9" t="s">
        <v>34</v>
      </c>
      <c r="E803" s="9" t="s">
        <v>17</v>
      </c>
      <c r="F803" s="10">
        <v>35475</v>
      </c>
      <c r="G803" s="7">
        <f t="shared" ca="1" si="48"/>
        <v>29.230555555555554</v>
      </c>
      <c r="H803" s="9" t="s">
        <v>36</v>
      </c>
      <c r="I803" s="9" t="s">
        <v>25</v>
      </c>
      <c r="J803" s="9" t="s">
        <v>20</v>
      </c>
      <c r="K803" s="9" t="s">
        <v>27</v>
      </c>
      <c r="L803" s="10">
        <v>45525</v>
      </c>
      <c r="M803" s="9">
        <f t="shared" ca="1" si="49"/>
        <v>1.711111111111111</v>
      </c>
      <c r="N803" s="9">
        <v>6673</v>
      </c>
      <c r="O803" s="9" t="str">
        <f t="shared" si="50"/>
        <v>أغسطس</v>
      </c>
      <c r="P803" s="7" t="str">
        <f t="shared" si="51"/>
        <v>راتب طبيعي</v>
      </c>
    </row>
    <row r="804" spans="1:16" x14ac:dyDescent="0.3">
      <c r="A804" s="7">
        <v>50295</v>
      </c>
      <c r="B804" s="7" t="s">
        <v>1641</v>
      </c>
      <c r="C804" s="7" t="s">
        <v>1642</v>
      </c>
      <c r="D804" s="7" t="s">
        <v>146</v>
      </c>
      <c r="E804" s="7" t="s">
        <v>17</v>
      </c>
      <c r="F804" s="8">
        <v>36882</v>
      </c>
      <c r="G804" s="7">
        <f t="shared" ca="1" si="48"/>
        <v>25.375</v>
      </c>
      <c r="H804" s="7" t="s">
        <v>18</v>
      </c>
      <c r="I804" s="7" t="s">
        <v>19</v>
      </c>
      <c r="J804" s="7" t="s">
        <v>27</v>
      </c>
      <c r="K804" s="7" t="s">
        <v>26</v>
      </c>
      <c r="L804" s="8">
        <v>45526</v>
      </c>
      <c r="M804" s="7">
        <f t="shared" ca="1" si="49"/>
        <v>1.7083333333333333</v>
      </c>
      <c r="N804" s="7">
        <v>26708</v>
      </c>
      <c r="O804" s="7" t="str">
        <f t="shared" si="50"/>
        <v>أغسطس</v>
      </c>
      <c r="P804" s="7" t="str">
        <f t="shared" si="51"/>
        <v>راتب طبيعي</v>
      </c>
    </row>
    <row r="805" spans="1:16" x14ac:dyDescent="0.3">
      <c r="A805" s="9">
        <v>53263</v>
      </c>
      <c r="B805" s="9" t="s">
        <v>1643</v>
      </c>
      <c r="C805" s="9" t="s">
        <v>1644</v>
      </c>
      <c r="D805" s="9" t="s">
        <v>30</v>
      </c>
      <c r="E805" s="9" t="s">
        <v>35</v>
      </c>
      <c r="F805" s="10">
        <v>30387</v>
      </c>
      <c r="G805" s="7">
        <f t="shared" ca="1" si="48"/>
        <v>43.152777777777779</v>
      </c>
      <c r="H805" s="9" t="s">
        <v>36</v>
      </c>
      <c r="I805" s="9" t="s">
        <v>25</v>
      </c>
      <c r="J805" s="9" t="s">
        <v>27</v>
      </c>
      <c r="K805" s="9" t="s">
        <v>20</v>
      </c>
      <c r="L805" s="10">
        <v>45527</v>
      </c>
      <c r="M805" s="9">
        <f t="shared" ca="1" si="49"/>
        <v>1.7055555555555555</v>
      </c>
      <c r="N805" s="9">
        <v>4317</v>
      </c>
      <c r="O805" s="9" t="str">
        <f t="shared" si="50"/>
        <v>أغسطس</v>
      </c>
      <c r="P805" s="7" t="str">
        <f t="shared" si="51"/>
        <v>راتب عالي</v>
      </c>
    </row>
    <row r="806" spans="1:16" x14ac:dyDescent="0.3">
      <c r="A806" s="7">
        <v>59916</v>
      </c>
      <c r="B806" s="7" t="s">
        <v>1645</v>
      </c>
      <c r="C806" s="7" t="s">
        <v>1646</v>
      </c>
      <c r="D806" s="7" t="s">
        <v>40</v>
      </c>
      <c r="E806" s="7" t="s">
        <v>17</v>
      </c>
      <c r="F806" s="8">
        <v>32709</v>
      </c>
      <c r="G806" s="7">
        <f t="shared" ca="1" si="48"/>
        <v>36.797222222222224</v>
      </c>
      <c r="H806" s="7" t="s">
        <v>18</v>
      </c>
      <c r="I806" s="7" t="s">
        <v>25</v>
      </c>
      <c r="J806" s="7" t="s">
        <v>31</v>
      </c>
      <c r="K806" s="7" t="s">
        <v>37</v>
      </c>
      <c r="L806" s="8">
        <v>45528</v>
      </c>
      <c r="M806" s="7">
        <f t="shared" ca="1" si="49"/>
        <v>1.7027777777777777</v>
      </c>
      <c r="N806" s="7">
        <v>3795</v>
      </c>
      <c r="O806" s="7" t="str">
        <f t="shared" si="50"/>
        <v>أغسطس</v>
      </c>
      <c r="P806" s="7" t="str">
        <f t="shared" si="51"/>
        <v>راتب عالي</v>
      </c>
    </row>
    <row r="807" spans="1:16" x14ac:dyDescent="0.3">
      <c r="A807" s="9">
        <v>51025</v>
      </c>
      <c r="B807" s="9" t="s">
        <v>1647</v>
      </c>
      <c r="C807" s="9" t="s">
        <v>1648</v>
      </c>
      <c r="D807" s="9" t="s">
        <v>66</v>
      </c>
      <c r="E807" s="9" t="s">
        <v>17</v>
      </c>
      <c r="F807" s="10">
        <v>36435</v>
      </c>
      <c r="G807" s="7">
        <f t="shared" ca="1" si="48"/>
        <v>26.597222222222221</v>
      </c>
      <c r="H807" s="9" t="s">
        <v>36</v>
      </c>
      <c r="I807" s="9" t="s">
        <v>46</v>
      </c>
      <c r="J807" s="9" t="s">
        <v>27</v>
      </c>
      <c r="K807" s="9" t="s">
        <v>20</v>
      </c>
      <c r="L807" s="10">
        <v>45529</v>
      </c>
      <c r="M807" s="9">
        <f t="shared" ca="1" si="49"/>
        <v>1.7</v>
      </c>
      <c r="N807" s="9">
        <v>10109</v>
      </c>
      <c r="O807" s="9" t="str">
        <f t="shared" si="50"/>
        <v>أغسطس</v>
      </c>
      <c r="P807" s="7" t="str">
        <f t="shared" si="51"/>
        <v>راتب طبيعي</v>
      </c>
    </row>
    <row r="808" spans="1:16" x14ac:dyDescent="0.3">
      <c r="A808" s="7">
        <v>58158</v>
      </c>
      <c r="B808" s="7" t="s">
        <v>1649</v>
      </c>
      <c r="C808" s="7" t="s">
        <v>1650</v>
      </c>
      <c r="D808" s="7" t="s">
        <v>30</v>
      </c>
      <c r="E808" s="7" t="s">
        <v>35</v>
      </c>
      <c r="F808" s="8">
        <v>33710</v>
      </c>
      <c r="G808" s="7">
        <f t="shared" ca="1" si="48"/>
        <v>34.05833333333333</v>
      </c>
      <c r="H808" s="7" t="s">
        <v>18</v>
      </c>
      <c r="I808" s="7" t="s">
        <v>25</v>
      </c>
      <c r="J808" s="7" t="s">
        <v>27</v>
      </c>
      <c r="K808" s="7" t="s">
        <v>26</v>
      </c>
      <c r="L808" s="8">
        <v>45530</v>
      </c>
      <c r="M808" s="7">
        <f t="shared" ca="1" si="49"/>
        <v>1.6972222222222222</v>
      </c>
      <c r="N808" s="7">
        <v>3679</v>
      </c>
      <c r="O808" s="7" t="str">
        <f t="shared" si="50"/>
        <v>أغسطس</v>
      </c>
      <c r="P808" s="7" t="str">
        <f t="shared" si="51"/>
        <v>راتب عالي</v>
      </c>
    </row>
    <row r="809" spans="1:16" x14ac:dyDescent="0.3">
      <c r="A809" s="9">
        <v>59145</v>
      </c>
      <c r="B809" s="9" t="s">
        <v>1651</v>
      </c>
      <c r="C809" s="9" t="s">
        <v>1652</v>
      </c>
      <c r="D809" s="9" t="s">
        <v>40</v>
      </c>
      <c r="E809" s="9" t="s">
        <v>17</v>
      </c>
      <c r="F809" s="10">
        <v>36470</v>
      </c>
      <c r="G809" s="7">
        <f t="shared" ca="1" si="48"/>
        <v>26.502777777777776</v>
      </c>
      <c r="H809" s="9" t="s">
        <v>36</v>
      </c>
      <c r="I809" s="9" t="s">
        <v>19</v>
      </c>
      <c r="J809" s="9" t="s">
        <v>27</v>
      </c>
      <c r="K809" s="9" t="s">
        <v>31</v>
      </c>
      <c r="L809" s="10">
        <v>45531</v>
      </c>
      <c r="M809" s="9">
        <f t="shared" ca="1" si="49"/>
        <v>1.6944444444444444</v>
      </c>
      <c r="N809" s="9">
        <v>23197</v>
      </c>
      <c r="O809" s="9" t="str">
        <f t="shared" si="50"/>
        <v>أغسطس</v>
      </c>
      <c r="P809" s="7" t="str">
        <f t="shared" si="51"/>
        <v>راتب طبيعي</v>
      </c>
    </row>
    <row r="810" spans="1:16" x14ac:dyDescent="0.3">
      <c r="A810" s="7">
        <v>57127</v>
      </c>
      <c r="B810" s="7" t="s">
        <v>1653</v>
      </c>
      <c r="C810" s="7" t="s">
        <v>1654</v>
      </c>
      <c r="D810" s="7" t="s">
        <v>95</v>
      </c>
      <c r="E810" s="7" t="s">
        <v>35</v>
      </c>
      <c r="F810" s="8">
        <v>30307</v>
      </c>
      <c r="G810" s="7">
        <f t="shared" ca="1" si="48"/>
        <v>43.375</v>
      </c>
      <c r="H810" s="7" t="s">
        <v>18</v>
      </c>
      <c r="I810" s="7" t="s">
        <v>19</v>
      </c>
      <c r="J810" s="7" t="s">
        <v>26</v>
      </c>
      <c r="K810" s="7" t="s">
        <v>31</v>
      </c>
      <c r="L810" s="8">
        <v>45532</v>
      </c>
      <c r="M810" s="7">
        <f t="shared" ca="1" si="49"/>
        <v>1.6916666666666667</v>
      </c>
      <c r="N810" s="7">
        <v>19161</v>
      </c>
      <c r="O810" s="7" t="str">
        <f t="shared" si="50"/>
        <v>أغسطس</v>
      </c>
      <c r="P810" s="7" t="str">
        <f t="shared" si="51"/>
        <v>راتب طبيعي</v>
      </c>
    </row>
    <row r="811" spans="1:16" x14ac:dyDescent="0.3">
      <c r="A811" s="9">
        <v>59864</v>
      </c>
      <c r="B811" s="9" t="s">
        <v>1655</v>
      </c>
      <c r="C811" s="9" t="s">
        <v>1656</v>
      </c>
      <c r="D811" s="9" t="s">
        <v>34</v>
      </c>
      <c r="E811" s="9" t="s">
        <v>17</v>
      </c>
      <c r="F811" s="10">
        <v>34663</v>
      </c>
      <c r="G811" s="7">
        <f t="shared" ca="1" si="48"/>
        <v>31.45</v>
      </c>
      <c r="H811" s="9" t="s">
        <v>18</v>
      </c>
      <c r="I811" s="9" t="s">
        <v>25</v>
      </c>
      <c r="J811" s="9" t="s">
        <v>26</v>
      </c>
      <c r="K811" s="9" t="s">
        <v>37</v>
      </c>
      <c r="L811" s="10">
        <v>45533</v>
      </c>
      <c r="M811" s="9">
        <f t="shared" ca="1" si="49"/>
        <v>1.6888888888888889</v>
      </c>
      <c r="N811" s="9">
        <v>6508</v>
      </c>
      <c r="O811" s="9" t="str">
        <f t="shared" si="50"/>
        <v>أغسطس</v>
      </c>
      <c r="P811" s="7" t="str">
        <f t="shared" si="51"/>
        <v>راتب طبيعي</v>
      </c>
    </row>
    <row r="812" spans="1:16" x14ac:dyDescent="0.3">
      <c r="A812" s="7">
        <v>52516</v>
      </c>
      <c r="B812" s="7" t="s">
        <v>1657</v>
      </c>
      <c r="C812" s="7" t="s">
        <v>1658</v>
      </c>
      <c r="D812" s="7" t="s">
        <v>40</v>
      </c>
      <c r="E812" s="7" t="s">
        <v>35</v>
      </c>
      <c r="F812" s="8">
        <v>37971</v>
      </c>
      <c r="G812" s="7">
        <f t="shared" ca="1" si="48"/>
        <v>22.391666666666666</v>
      </c>
      <c r="H812" s="7" t="s">
        <v>36</v>
      </c>
      <c r="I812" s="7" t="s">
        <v>25</v>
      </c>
      <c r="J812" s="7" t="s">
        <v>27</v>
      </c>
      <c r="K812" s="7" t="s">
        <v>20</v>
      </c>
      <c r="L812" s="8">
        <v>45534</v>
      </c>
      <c r="M812" s="7">
        <f t="shared" ca="1" si="49"/>
        <v>1.6861111111111111</v>
      </c>
      <c r="N812" s="7">
        <v>5983</v>
      </c>
      <c r="O812" s="7" t="str">
        <f t="shared" si="50"/>
        <v>أغسطس</v>
      </c>
      <c r="P812" s="7" t="str">
        <f t="shared" si="51"/>
        <v>راتب طبيعي</v>
      </c>
    </row>
    <row r="813" spans="1:16" x14ac:dyDescent="0.3">
      <c r="A813" s="9">
        <v>52977</v>
      </c>
      <c r="B813" s="9" t="s">
        <v>1659</v>
      </c>
      <c r="C813" s="9" t="s">
        <v>1660</v>
      </c>
      <c r="D813" s="9" t="s">
        <v>16</v>
      </c>
      <c r="E813" s="9" t="s">
        <v>17</v>
      </c>
      <c r="F813" s="10">
        <v>32426</v>
      </c>
      <c r="G813" s="7">
        <f t="shared" ca="1" si="48"/>
        <v>37.575000000000003</v>
      </c>
      <c r="H813" s="9" t="s">
        <v>18</v>
      </c>
      <c r="I813" s="9" t="s">
        <v>25</v>
      </c>
      <c r="J813" s="9" t="s">
        <v>26</v>
      </c>
      <c r="K813" s="9" t="s">
        <v>37</v>
      </c>
      <c r="L813" s="10">
        <v>45535</v>
      </c>
      <c r="M813" s="9">
        <f t="shared" ca="1" si="49"/>
        <v>1.6861111111111111</v>
      </c>
      <c r="N813" s="9">
        <v>6677</v>
      </c>
      <c r="O813" s="9" t="str">
        <f t="shared" si="50"/>
        <v>أغسطس</v>
      </c>
      <c r="P813" s="7" t="str">
        <f t="shared" si="51"/>
        <v>راتب طبيعي</v>
      </c>
    </row>
    <row r="814" spans="1:16" x14ac:dyDescent="0.3">
      <c r="A814" s="7">
        <v>51296</v>
      </c>
      <c r="B814" s="7" t="s">
        <v>1661</v>
      </c>
      <c r="C814" s="7" t="s">
        <v>1662</v>
      </c>
      <c r="D814" s="7" t="s">
        <v>43</v>
      </c>
      <c r="E814" s="7" t="s">
        <v>17</v>
      </c>
      <c r="F814" s="8">
        <v>33882</v>
      </c>
      <c r="G814" s="7">
        <f t="shared" ca="1" si="48"/>
        <v>33.588888888888889</v>
      </c>
      <c r="H814" s="7" t="s">
        <v>18</v>
      </c>
      <c r="I814" s="7" t="s">
        <v>25</v>
      </c>
      <c r="J814" s="7" t="s">
        <v>21</v>
      </c>
      <c r="K814" s="7" t="s">
        <v>37</v>
      </c>
      <c r="L814" s="8">
        <v>45536</v>
      </c>
      <c r="M814" s="7">
        <f t="shared" ca="1" si="49"/>
        <v>1.6833333333333333</v>
      </c>
      <c r="N814" s="7">
        <v>3128</v>
      </c>
      <c r="O814" s="7" t="str">
        <f t="shared" si="50"/>
        <v>سبتمبر</v>
      </c>
      <c r="P814" s="7" t="str">
        <f t="shared" si="51"/>
        <v>راتب عالي</v>
      </c>
    </row>
    <row r="815" spans="1:16" x14ac:dyDescent="0.3">
      <c r="A815" s="9">
        <v>55050</v>
      </c>
      <c r="B815" s="9" t="s">
        <v>1663</v>
      </c>
      <c r="C815" s="9" t="s">
        <v>1664</v>
      </c>
      <c r="D815" s="9" t="s">
        <v>146</v>
      </c>
      <c r="E815" s="9" t="s">
        <v>17</v>
      </c>
      <c r="F815" s="10">
        <v>36502</v>
      </c>
      <c r="G815" s="7">
        <f t="shared" ca="1" si="48"/>
        <v>26.413888888888888</v>
      </c>
      <c r="H815" s="9" t="s">
        <v>18</v>
      </c>
      <c r="I815" s="9" t="s">
        <v>25</v>
      </c>
      <c r="J815" s="9" t="s">
        <v>27</v>
      </c>
      <c r="K815" s="9" t="s">
        <v>27</v>
      </c>
      <c r="L815" s="10">
        <v>45537</v>
      </c>
      <c r="M815" s="9">
        <f t="shared" ca="1" si="49"/>
        <v>1.6805555555555556</v>
      </c>
      <c r="N815" s="9">
        <v>5201</v>
      </c>
      <c r="O815" s="9" t="str">
        <f t="shared" si="50"/>
        <v>سبتمبر</v>
      </c>
      <c r="P815" s="7" t="str">
        <f t="shared" si="51"/>
        <v>راتب عالي</v>
      </c>
    </row>
    <row r="816" spans="1:16" x14ac:dyDescent="0.3">
      <c r="A816" s="7">
        <v>54319</v>
      </c>
      <c r="B816" s="7" t="s">
        <v>1665</v>
      </c>
      <c r="C816" s="7" t="s">
        <v>1666</v>
      </c>
      <c r="D816" s="7" t="s">
        <v>146</v>
      </c>
      <c r="E816" s="7" t="s">
        <v>35</v>
      </c>
      <c r="F816" s="8">
        <v>35119</v>
      </c>
      <c r="G816" s="7">
        <f t="shared" ca="1" si="48"/>
        <v>30.202777777777779</v>
      </c>
      <c r="H816" s="7" t="s">
        <v>18</v>
      </c>
      <c r="I816" s="7" t="s">
        <v>19</v>
      </c>
      <c r="J816" s="7" t="s">
        <v>31</v>
      </c>
      <c r="K816" s="7" t="s">
        <v>37</v>
      </c>
      <c r="L816" s="8">
        <v>45538</v>
      </c>
      <c r="M816" s="7">
        <f t="shared" ca="1" si="49"/>
        <v>1.6777777777777778</v>
      </c>
      <c r="N816" s="7">
        <v>15036</v>
      </c>
      <c r="O816" s="7" t="str">
        <f t="shared" si="50"/>
        <v>سبتمبر</v>
      </c>
      <c r="P816" s="7" t="str">
        <f t="shared" si="51"/>
        <v>راتب طبيعي</v>
      </c>
    </row>
    <row r="817" spans="1:16" x14ac:dyDescent="0.3">
      <c r="A817" s="9">
        <v>57369</v>
      </c>
      <c r="B817" s="9" t="s">
        <v>1667</v>
      </c>
      <c r="C817" s="9" t="s">
        <v>1668</v>
      </c>
      <c r="D817" s="9" t="s">
        <v>66</v>
      </c>
      <c r="E817" s="9" t="s">
        <v>17</v>
      </c>
      <c r="F817" s="10">
        <v>36511</v>
      </c>
      <c r="G817" s="7">
        <f t="shared" ca="1" si="48"/>
        <v>26.388888888888889</v>
      </c>
      <c r="H817" s="9" t="s">
        <v>18</v>
      </c>
      <c r="I817" s="9" t="s">
        <v>25</v>
      </c>
      <c r="J817" s="9" t="s">
        <v>26</v>
      </c>
      <c r="K817" s="9" t="s">
        <v>26</v>
      </c>
      <c r="L817" s="10">
        <v>45539</v>
      </c>
      <c r="M817" s="9">
        <f t="shared" ca="1" si="49"/>
        <v>1.675</v>
      </c>
      <c r="N817" s="9">
        <v>5557</v>
      </c>
      <c r="O817" s="9" t="str">
        <f t="shared" si="50"/>
        <v>سبتمبر</v>
      </c>
      <c r="P817" s="7" t="str">
        <f t="shared" si="51"/>
        <v>راتب عالي</v>
      </c>
    </row>
    <row r="818" spans="1:16" x14ac:dyDescent="0.3">
      <c r="A818" s="7">
        <v>59043</v>
      </c>
      <c r="B818" s="7" t="s">
        <v>1669</v>
      </c>
      <c r="C818" s="7" t="s">
        <v>1670</v>
      </c>
      <c r="D818" s="7" t="s">
        <v>66</v>
      </c>
      <c r="E818" s="7" t="s">
        <v>35</v>
      </c>
      <c r="F818" s="8">
        <v>33285</v>
      </c>
      <c r="G818" s="7">
        <f t="shared" ca="1" si="48"/>
        <v>35.225000000000001</v>
      </c>
      <c r="H818" s="7" t="s">
        <v>18</v>
      </c>
      <c r="I818" s="7" t="s">
        <v>46</v>
      </c>
      <c r="J818" s="7" t="s">
        <v>31</v>
      </c>
      <c r="K818" s="7" t="s">
        <v>27</v>
      </c>
      <c r="L818" s="8">
        <v>45540</v>
      </c>
      <c r="M818" s="7">
        <f t="shared" ca="1" si="49"/>
        <v>1.6722222222222223</v>
      </c>
      <c r="N818" s="7">
        <v>11367</v>
      </c>
      <c r="O818" s="7" t="str">
        <f t="shared" si="50"/>
        <v>سبتمبر</v>
      </c>
      <c r="P818" s="7" t="str">
        <f t="shared" si="51"/>
        <v>راتب طبيعي</v>
      </c>
    </row>
    <row r="819" spans="1:16" x14ac:dyDescent="0.3">
      <c r="A819" s="9">
        <v>54381</v>
      </c>
      <c r="B819" s="9" t="s">
        <v>1671</v>
      </c>
      <c r="C819" s="9" t="s">
        <v>1672</v>
      </c>
      <c r="D819" s="9" t="s">
        <v>16</v>
      </c>
      <c r="E819" s="9" t="s">
        <v>17</v>
      </c>
      <c r="F819" s="10">
        <v>37257</v>
      </c>
      <c r="G819" s="7">
        <f t="shared" ca="1" si="48"/>
        <v>24.35</v>
      </c>
      <c r="H819" s="9" t="s">
        <v>36</v>
      </c>
      <c r="I819" s="9" t="s">
        <v>19</v>
      </c>
      <c r="J819" s="9" t="s">
        <v>27</v>
      </c>
      <c r="K819" s="9" t="s">
        <v>37</v>
      </c>
      <c r="L819" s="10">
        <v>45541</v>
      </c>
      <c r="M819" s="9">
        <f t="shared" ca="1" si="49"/>
        <v>1.6694444444444445</v>
      </c>
      <c r="N819" s="9">
        <v>20454</v>
      </c>
      <c r="O819" s="9" t="str">
        <f t="shared" si="50"/>
        <v>سبتمبر</v>
      </c>
      <c r="P819" s="7" t="str">
        <f t="shared" si="51"/>
        <v>راتب طبيعي</v>
      </c>
    </row>
    <row r="820" spans="1:16" x14ac:dyDescent="0.3">
      <c r="A820" s="7">
        <v>54564</v>
      </c>
      <c r="B820" s="7" t="s">
        <v>1673</v>
      </c>
      <c r="C820" s="7" t="s">
        <v>1674</v>
      </c>
      <c r="D820" s="7" t="s">
        <v>16</v>
      </c>
      <c r="E820" s="7" t="s">
        <v>35</v>
      </c>
      <c r="F820" s="8">
        <v>36022</v>
      </c>
      <c r="G820" s="7">
        <f t="shared" ca="1" si="48"/>
        <v>27.727777777777778</v>
      </c>
      <c r="H820" s="7" t="s">
        <v>36</v>
      </c>
      <c r="I820" s="7" t="s">
        <v>19</v>
      </c>
      <c r="J820" s="7" t="s">
        <v>21</v>
      </c>
      <c r="K820" s="7" t="s">
        <v>20</v>
      </c>
      <c r="L820" s="8">
        <v>45542</v>
      </c>
      <c r="M820" s="7">
        <f t="shared" ca="1" si="49"/>
        <v>1.6666666666666667</v>
      </c>
      <c r="N820" s="7">
        <v>23329</v>
      </c>
      <c r="O820" s="7" t="str">
        <f t="shared" si="50"/>
        <v>سبتمبر</v>
      </c>
      <c r="P820" s="7" t="str">
        <f t="shared" si="51"/>
        <v>راتب طبيعي</v>
      </c>
    </row>
    <row r="821" spans="1:16" x14ac:dyDescent="0.3">
      <c r="A821" s="9">
        <v>55854</v>
      </c>
      <c r="B821" s="9" t="s">
        <v>1675</v>
      </c>
      <c r="C821" s="9" t="s">
        <v>1676</v>
      </c>
      <c r="D821" s="9" t="s">
        <v>146</v>
      </c>
      <c r="E821" s="9" t="s">
        <v>35</v>
      </c>
      <c r="F821" s="10">
        <v>33213</v>
      </c>
      <c r="G821" s="7">
        <f t="shared" ca="1" si="48"/>
        <v>35.419444444444444</v>
      </c>
      <c r="H821" s="9" t="s">
        <v>18</v>
      </c>
      <c r="I821" s="9" t="s">
        <v>25</v>
      </c>
      <c r="J821" s="9" t="s">
        <v>21</v>
      </c>
      <c r="K821" s="9" t="s">
        <v>26</v>
      </c>
      <c r="L821" s="10">
        <v>45543</v>
      </c>
      <c r="M821" s="9">
        <f t="shared" ca="1" si="49"/>
        <v>1.663888888888889</v>
      </c>
      <c r="N821" s="9">
        <v>5794</v>
      </c>
      <c r="O821" s="9" t="str">
        <f t="shared" si="50"/>
        <v>سبتمبر</v>
      </c>
      <c r="P821" s="7" t="str">
        <f t="shared" si="51"/>
        <v>راتب عالي</v>
      </c>
    </row>
    <row r="822" spans="1:16" x14ac:dyDescent="0.3">
      <c r="A822" s="7">
        <v>53997</v>
      </c>
      <c r="B822" s="7" t="s">
        <v>1677</v>
      </c>
      <c r="C822" s="7" t="s">
        <v>1678</v>
      </c>
      <c r="D822" s="7" t="s">
        <v>95</v>
      </c>
      <c r="E822" s="7" t="s">
        <v>35</v>
      </c>
      <c r="F822" s="8">
        <v>37764</v>
      </c>
      <c r="G822" s="7">
        <f t="shared" ca="1" si="48"/>
        <v>22.955555555555556</v>
      </c>
      <c r="H822" s="7" t="s">
        <v>36</v>
      </c>
      <c r="I822" s="7" t="s">
        <v>25</v>
      </c>
      <c r="J822" s="7" t="s">
        <v>20</v>
      </c>
      <c r="K822" s="7" t="s">
        <v>20</v>
      </c>
      <c r="L822" s="8">
        <v>45544</v>
      </c>
      <c r="M822" s="7">
        <f t="shared" ca="1" si="49"/>
        <v>1.6611111111111112</v>
      </c>
      <c r="N822" s="7">
        <v>5666</v>
      </c>
      <c r="O822" s="7" t="str">
        <f t="shared" si="50"/>
        <v>سبتمبر</v>
      </c>
      <c r="P822" s="7" t="str">
        <f t="shared" si="51"/>
        <v>راتب عالي</v>
      </c>
    </row>
    <row r="823" spans="1:16" x14ac:dyDescent="0.3">
      <c r="A823" s="9">
        <v>56999</v>
      </c>
      <c r="B823" s="9" t="s">
        <v>1679</v>
      </c>
      <c r="C823" s="9" t="s">
        <v>1680</v>
      </c>
      <c r="D823" s="9" t="s">
        <v>66</v>
      </c>
      <c r="E823" s="9" t="s">
        <v>17</v>
      </c>
      <c r="F823" s="10">
        <v>37928</v>
      </c>
      <c r="G823" s="7">
        <f t="shared" ca="1" si="48"/>
        <v>22.511111111111113</v>
      </c>
      <c r="H823" s="9" t="s">
        <v>36</v>
      </c>
      <c r="I823" s="9" t="s">
        <v>19</v>
      </c>
      <c r="J823" s="9" t="s">
        <v>21</v>
      </c>
      <c r="K823" s="9" t="s">
        <v>37</v>
      </c>
      <c r="L823" s="10">
        <v>45545</v>
      </c>
      <c r="M823" s="9">
        <f t="shared" ca="1" si="49"/>
        <v>1.6583333333333334</v>
      </c>
      <c r="N823" s="9">
        <v>26651</v>
      </c>
      <c r="O823" s="9" t="str">
        <f t="shared" si="50"/>
        <v>سبتمبر</v>
      </c>
      <c r="P823" s="7" t="str">
        <f t="shared" si="51"/>
        <v>راتب طبيعي</v>
      </c>
    </row>
    <row r="824" spans="1:16" x14ac:dyDescent="0.3">
      <c r="A824" s="7">
        <v>53077</v>
      </c>
      <c r="B824" s="7" t="s">
        <v>1681</v>
      </c>
      <c r="C824" s="7" t="s">
        <v>1682</v>
      </c>
      <c r="D824" s="7" t="s">
        <v>16</v>
      </c>
      <c r="E824" s="7" t="s">
        <v>17</v>
      </c>
      <c r="F824" s="8">
        <v>33526</v>
      </c>
      <c r="G824" s="7">
        <f t="shared" ca="1" si="48"/>
        <v>34.56111111111111</v>
      </c>
      <c r="H824" s="7" t="s">
        <v>36</v>
      </c>
      <c r="I824" s="7" t="s">
        <v>25</v>
      </c>
      <c r="J824" s="7" t="s">
        <v>27</v>
      </c>
      <c r="K824" s="7" t="s">
        <v>31</v>
      </c>
      <c r="L824" s="8">
        <v>45546</v>
      </c>
      <c r="M824" s="7">
        <f t="shared" ca="1" si="49"/>
        <v>1.6555555555555554</v>
      </c>
      <c r="N824" s="7">
        <v>6466</v>
      </c>
      <c r="O824" s="7" t="str">
        <f t="shared" si="50"/>
        <v>سبتمبر</v>
      </c>
      <c r="P824" s="7" t="str">
        <f t="shared" si="51"/>
        <v>راتب طبيعي</v>
      </c>
    </row>
    <row r="825" spans="1:16" x14ac:dyDescent="0.3">
      <c r="A825" s="9">
        <v>59532</v>
      </c>
      <c r="B825" s="9" t="s">
        <v>1683</v>
      </c>
      <c r="C825" s="9" t="s">
        <v>1684</v>
      </c>
      <c r="D825" s="9" t="s">
        <v>16</v>
      </c>
      <c r="E825" s="9" t="s">
        <v>17</v>
      </c>
      <c r="F825" s="10">
        <v>35482</v>
      </c>
      <c r="G825" s="7">
        <f t="shared" ca="1" si="48"/>
        <v>29.211111111111112</v>
      </c>
      <c r="H825" s="9" t="s">
        <v>36</v>
      </c>
      <c r="I825" s="9" t="s">
        <v>19</v>
      </c>
      <c r="J825" s="9" t="s">
        <v>20</v>
      </c>
      <c r="K825" s="9" t="s">
        <v>21</v>
      </c>
      <c r="L825" s="10">
        <v>45547</v>
      </c>
      <c r="M825" s="9">
        <f t="shared" ca="1" si="49"/>
        <v>1.6527777777777777</v>
      </c>
      <c r="N825" s="9">
        <v>18461</v>
      </c>
      <c r="O825" s="9" t="str">
        <f t="shared" si="50"/>
        <v>سبتمبر</v>
      </c>
      <c r="P825" s="7" t="str">
        <f t="shared" si="51"/>
        <v>راتب طبيعي</v>
      </c>
    </row>
    <row r="826" spans="1:16" x14ac:dyDescent="0.3">
      <c r="A826" s="7">
        <v>59525</v>
      </c>
      <c r="B826" s="7" t="s">
        <v>1685</v>
      </c>
      <c r="C826" s="7" t="s">
        <v>1686</v>
      </c>
      <c r="D826" s="7" t="s">
        <v>53</v>
      </c>
      <c r="E826" s="7" t="s">
        <v>35</v>
      </c>
      <c r="F826" s="8">
        <v>32529</v>
      </c>
      <c r="G826" s="7">
        <f t="shared" ca="1" si="48"/>
        <v>37.294444444444444</v>
      </c>
      <c r="H826" s="7" t="s">
        <v>36</v>
      </c>
      <c r="I826" s="7" t="s">
        <v>25</v>
      </c>
      <c r="J826" s="7" t="s">
        <v>27</v>
      </c>
      <c r="K826" s="7" t="s">
        <v>37</v>
      </c>
      <c r="L826" s="8">
        <v>45548</v>
      </c>
      <c r="M826" s="7">
        <f t="shared" ca="1" si="49"/>
        <v>1.65</v>
      </c>
      <c r="N826" s="7">
        <v>4634</v>
      </c>
      <c r="O826" s="7" t="str">
        <f t="shared" si="50"/>
        <v>سبتمبر</v>
      </c>
      <c r="P826" s="7" t="str">
        <f t="shared" si="51"/>
        <v>راتب عالي</v>
      </c>
    </row>
    <row r="827" spans="1:16" x14ac:dyDescent="0.3">
      <c r="A827" s="9">
        <v>59185</v>
      </c>
      <c r="B827" s="9" t="s">
        <v>1687</v>
      </c>
      <c r="C827" s="9" t="s">
        <v>1688</v>
      </c>
      <c r="D827" s="9" t="s">
        <v>16</v>
      </c>
      <c r="E827" s="9" t="s">
        <v>35</v>
      </c>
      <c r="F827" s="10">
        <v>36079</v>
      </c>
      <c r="G827" s="7">
        <f t="shared" ca="1" si="48"/>
        <v>27.572222222222223</v>
      </c>
      <c r="H827" s="9" t="s">
        <v>36</v>
      </c>
      <c r="I827" s="9" t="s">
        <v>25</v>
      </c>
      <c r="J827" s="9" t="s">
        <v>20</v>
      </c>
      <c r="K827" s="9" t="s">
        <v>31</v>
      </c>
      <c r="L827" s="10">
        <v>45549</v>
      </c>
      <c r="M827" s="9">
        <f t="shared" ca="1" si="49"/>
        <v>1.6472222222222221</v>
      </c>
      <c r="N827" s="9">
        <v>6365</v>
      </c>
      <c r="O827" s="9" t="str">
        <f t="shared" si="50"/>
        <v>سبتمبر</v>
      </c>
      <c r="P827" s="7" t="str">
        <f t="shared" si="51"/>
        <v>راتب طبيعي</v>
      </c>
    </row>
    <row r="828" spans="1:16" x14ac:dyDescent="0.3">
      <c r="A828" s="7">
        <v>57617</v>
      </c>
      <c r="B828" s="7" t="s">
        <v>1689</v>
      </c>
      <c r="C828" s="7" t="s">
        <v>1690</v>
      </c>
      <c r="D828" s="7" t="s">
        <v>53</v>
      </c>
      <c r="E828" s="7" t="s">
        <v>35</v>
      </c>
      <c r="F828" s="8">
        <v>34775</v>
      </c>
      <c r="G828" s="7">
        <f t="shared" ca="1" si="48"/>
        <v>31.138888888888889</v>
      </c>
      <c r="H828" s="7" t="s">
        <v>18</v>
      </c>
      <c r="I828" s="7" t="s">
        <v>46</v>
      </c>
      <c r="J828" s="7" t="s">
        <v>21</v>
      </c>
      <c r="K828" s="7" t="s">
        <v>37</v>
      </c>
      <c r="L828" s="8">
        <v>45550</v>
      </c>
      <c r="M828" s="7">
        <f t="shared" ca="1" si="49"/>
        <v>1.6444444444444444</v>
      </c>
      <c r="N828" s="7">
        <v>13384</v>
      </c>
      <c r="O828" s="7" t="str">
        <f t="shared" si="50"/>
        <v>سبتمبر</v>
      </c>
      <c r="P828" s="7" t="str">
        <f t="shared" si="51"/>
        <v>راتب طبيعي</v>
      </c>
    </row>
    <row r="829" spans="1:16" x14ac:dyDescent="0.3">
      <c r="A829" s="9">
        <v>58825</v>
      </c>
      <c r="B829" s="9" t="s">
        <v>1691</v>
      </c>
      <c r="C829" s="9" t="s">
        <v>1692</v>
      </c>
      <c r="D829" s="9" t="s">
        <v>146</v>
      </c>
      <c r="E829" s="9" t="s">
        <v>35</v>
      </c>
      <c r="F829" s="10">
        <v>33709</v>
      </c>
      <c r="G829" s="7">
        <f t="shared" ca="1" si="48"/>
        <v>34.06111111111111</v>
      </c>
      <c r="H829" s="9" t="s">
        <v>36</v>
      </c>
      <c r="I829" s="9" t="s">
        <v>46</v>
      </c>
      <c r="J829" s="9" t="s">
        <v>27</v>
      </c>
      <c r="K829" s="9" t="s">
        <v>26</v>
      </c>
      <c r="L829" s="10">
        <v>45551</v>
      </c>
      <c r="M829" s="9">
        <f t="shared" ca="1" si="49"/>
        <v>1.6416666666666666</v>
      </c>
      <c r="N829" s="9">
        <v>13754</v>
      </c>
      <c r="O829" s="9" t="str">
        <f t="shared" si="50"/>
        <v>سبتمبر</v>
      </c>
      <c r="P829" s="7" t="str">
        <f t="shared" si="51"/>
        <v>راتب طبيعي</v>
      </c>
    </row>
    <row r="830" spans="1:16" x14ac:dyDescent="0.3">
      <c r="A830" s="7">
        <v>50861</v>
      </c>
      <c r="B830" s="7" t="s">
        <v>1693</v>
      </c>
      <c r="C830" s="7" t="s">
        <v>1694</v>
      </c>
      <c r="D830" s="7" t="s">
        <v>40</v>
      </c>
      <c r="E830" s="7" t="s">
        <v>35</v>
      </c>
      <c r="F830" s="8">
        <v>37144</v>
      </c>
      <c r="G830" s="7">
        <f t="shared" ca="1" si="48"/>
        <v>24.658333333333335</v>
      </c>
      <c r="H830" s="7" t="s">
        <v>36</v>
      </c>
      <c r="I830" s="7" t="s">
        <v>25</v>
      </c>
      <c r="J830" s="7" t="s">
        <v>31</v>
      </c>
      <c r="K830" s="7" t="s">
        <v>27</v>
      </c>
      <c r="L830" s="8">
        <v>45552</v>
      </c>
      <c r="M830" s="7">
        <f t="shared" ca="1" si="49"/>
        <v>1.6388888888888888</v>
      </c>
      <c r="N830" s="7">
        <v>6339</v>
      </c>
      <c r="O830" s="7" t="str">
        <f t="shared" si="50"/>
        <v>سبتمبر</v>
      </c>
      <c r="P830" s="7" t="str">
        <f t="shared" si="51"/>
        <v>راتب طبيعي</v>
      </c>
    </row>
    <row r="831" spans="1:16" x14ac:dyDescent="0.3">
      <c r="A831" s="9">
        <v>51601</v>
      </c>
      <c r="B831" s="9" t="s">
        <v>1695</v>
      </c>
      <c r="C831" s="9" t="s">
        <v>1696</v>
      </c>
      <c r="D831" s="9" t="s">
        <v>16</v>
      </c>
      <c r="E831" s="9" t="s">
        <v>17</v>
      </c>
      <c r="F831" s="10">
        <v>33719</v>
      </c>
      <c r="G831" s="7">
        <f t="shared" ca="1" si="48"/>
        <v>34.033333333333331</v>
      </c>
      <c r="H831" s="9" t="s">
        <v>18</v>
      </c>
      <c r="I831" s="9" t="s">
        <v>25</v>
      </c>
      <c r="J831" s="9" t="s">
        <v>31</v>
      </c>
      <c r="K831" s="9" t="s">
        <v>31</v>
      </c>
      <c r="L831" s="10">
        <v>45553</v>
      </c>
      <c r="M831" s="9">
        <f t="shared" ca="1" si="49"/>
        <v>1.6361111111111111</v>
      </c>
      <c r="N831" s="9">
        <v>4819</v>
      </c>
      <c r="O831" s="9" t="str">
        <f t="shared" si="50"/>
        <v>سبتمبر</v>
      </c>
      <c r="P831" s="7" t="str">
        <f t="shared" si="51"/>
        <v>راتب عالي</v>
      </c>
    </row>
    <row r="832" spans="1:16" x14ac:dyDescent="0.3">
      <c r="A832" s="7">
        <v>57695</v>
      </c>
      <c r="B832" s="7" t="s">
        <v>1697</v>
      </c>
      <c r="C832" s="7" t="s">
        <v>1698</v>
      </c>
      <c r="D832" s="7" t="s">
        <v>53</v>
      </c>
      <c r="E832" s="7" t="s">
        <v>17</v>
      </c>
      <c r="F832" s="8">
        <v>33442</v>
      </c>
      <c r="G832" s="7">
        <f t="shared" ca="1" si="48"/>
        <v>34.788888888888891</v>
      </c>
      <c r="H832" s="7" t="s">
        <v>36</v>
      </c>
      <c r="I832" s="7" t="s">
        <v>19</v>
      </c>
      <c r="J832" s="7" t="s">
        <v>31</v>
      </c>
      <c r="K832" s="7" t="s">
        <v>31</v>
      </c>
      <c r="L832" s="8">
        <v>45554</v>
      </c>
      <c r="M832" s="7">
        <f t="shared" ca="1" si="49"/>
        <v>1.6333333333333333</v>
      </c>
      <c r="N832" s="7">
        <v>19170</v>
      </c>
      <c r="O832" s="7" t="str">
        <f t="shared" si="50"/>
        <v>سبتمبر</v>
      </c>
      <c r="P832" s="7" t="str">
        <f t="shared" si="51"/>
        <v>راتب طبيعي</v>
      </c>
    </row>
    <row r="833" spans="1:16" x14ac:dyDescent="0.3">
      <c r="A833" s="9">
        <v>54040</v>
      </c>
      <c r="B833" s="9" t="s">
        <v>1699</v>
      </c>
      <c r="C833" s="9" t="s">
        <v>1700</v>
      </c>
      <c r="D833" s="9" t="s">
        <v>95</v>
      </c>
      <c r="E833" s="9" t="s">
        <v>35</v>
      </c>
      <c r="F833" s="10">
        <v>34975</v>
      </c>
      <c r="G833" s="7">
        <f t="shared" ca="1" si="48"/>
        <v>30.594444444444445</v>
      </c>
      <c r="H833" s="9" t="s">
        <v>18</v>
      </c>
      <c r="I833" s="9" t="s">
        <v>25</v>
      </c>
      <c r="J833" s="9" t="s">
        <v>26</v>
      </c>
      <c r="K833" s="9" t="s">
        <v>31</v>
      </c>
      <c r="L833" s="10">
        <v>45555</v>
      </c>
      <c r="M833" s="9">
        <f t="shared" ca="1" si="49"/>
        <v>1.6305555555555555</v>
      </c>
      <c r="N833" s="9">
        <v>5722</v>
      </c>
      <c r="O833" s="9" t="str">
        <f t="shared" si="50"/>
        <v>سبتمبر</v>
      </c>
      <c r="P833" s="7" t="str">
        <f t="shared" si="51"/>
        <v>راتب عالي</v>
      </c>
    </row>
    <row r="834" spans="1:16" x14ac:dyDescent="0.3">
      <c r="A834" s="7">
        <v>59393</v>
      </c>
      <c r="B834" s="7" t="s">
        <v>1701</v>
      </c>
      <c r="C834" s="7" t="s">
        <v>1702</v>
      </c>
      <c r="D834" s="7" t="s">
        <v>34</v>
      </c>
      <c r="E834" s="7" t="s">
        <v>17</v>
      </c>
      <c r="F834" s="8">
        <v>35913</v>
      </c>
      <c r="G834" s="7">
        <f t="shared" ca="1" si="48"/>
        <v>28.024999999999999</v>
      </c>
      <c r="H834" s="7" t="s">
        <v>36</v>
      </c>
      <c r="I834" s="7" t="s">
        <v>25</v>
      </c>
      <c r="J834" s="7" t="s">
        <v>26</v>
      </c>
      <c r="K834" s="7" t="s">
        <v>37</v>
      </c>
      <c r="L834" s="8">
        <v>45556</v>
      </c>
      <c r="M834" s="7">
        <f t="shared" ca="1" si="49"/>
        <v>1.6277777777777778</v>
      </c>
      <c r="N834" s="7">
        <v>5936</v>
      </c>
      <c r="O834" s="7" t="str">
        <f t="shared" si="50"/>
        <v>سبتمبر</v>
      </c>
      <c r="P834" s="7" t="str">
        <f t="shared" si="51"/>
        <v>راتب عالي</v>
      </c>
    </row>
    <row r="835" spans="1:16" x14ac:dyDescent="0.3">
      <c r="A835" s="9">
        <v>57789</v>
      </c>
      <c r="B835" s="9" t="s">
        <v>1703</v>
      </c>
      <c r="C835" s="9" t="s">
        <v>1704</v>
      </c>
      <c r="D835" s="9" t="s">
        <v>43</v>
      </c>
      <c r="E835" s="9" t="s">
        <v>35</v>
      </c>
      <c r="F835" s="10">
        <v>32429</v>
      </c>
      <c r="G835" s="7">
        <f t="shared" ref="G835:G898" ca="1" si="52">YEARFRAC(F835,TODAY())</f>
        <v>37.56666666666667</v>
      </c>
      <c r="H835" s="9" t="s">
        <v>18</v>
      </c>
      <c r="I835" s="9" t="s">
        <v>25</v>
      </c>
      <c r="J835" s="9" t="s">
        <v>31</v>
      </c>
      <c r="K835" s="9" t="s">
        <v>37</v>
      </c>
      <c r="L835" s="10">
        <v>45557</v>
      </c>
      <c r="M835" s="9">
        <f t="shared" ref="M835:M898" ca="1" si="53">YEARFRAC(L835,TODAY())</f>
        <v>1.625</v>
      </c>
      <c r="N835" s="9">
        <v>3501</v>
      </c>
      <c r="O835" s="9" t="str">
        <f t="shared" ref="O835:O898" si="54">TEXT(L835,"mmm")</f>
        <v>سبتمبر</v>
      </c>
      <c r="P835" s="7" t="str">
        <f t="shared" ref="P835:P898" si="55">IF(N835&gt;=S$10,"راتب طبيعي","راتب عالي")</f>
        <v>راتب عالي</v>
      </c>
    </row>
    <row r="836" spans="1:16" x14ac:dyDescent="0.3">
      <c r="A836" s="7">
        <v>54371</v>
      </c>
      <c r="B836" s="7" t="s">
        <v>1705</v>
      </c>
      <c r="C836" s="7" t="s">
        <v>1706</v>
      </c>
      <c r="D836" s="7" t="s">
        <v>40</v>
      </c>
      <c r="E836" s="7" t="s">
        <v>35</v>
      </c>
      <c r="F836" s="8">
        <v>35188</v>
      </c>
      <c r="G836" s="7">
        <f t="shared" ca="1" si="52"/>
        <v>30.011111111111113</v>
      </c>
      <c r="H836" s="7" t="s">
        <v>18</v>
      </c>
      <c r="I836" s="7" t="s">
        <v>19</v>
      </c>
      <c r="J836" s="7" t="s">
        <v>20</v>
      </c>
      <c r="K836" s="7" t="s">
        <v>31</v>
      </c>
      <c r="L836" s="8">
        <v>45558</v>
      </c>
      <c r="M836" s="7">
        <f t="shared" ca="1" si="53"/>
        <v>1.6222222222222222</v>
      </c>
      <c r="N836" s="7">
        <v>24664</v>
      </c>
      <c r="O836" s="7" t="str">
        <f t="shared" si="54"/>
        <v>سبتمبر</v>
      </c>
      <c r="P836" s="7" t="str">
        <f t="shared" si="55"/>
        <v>راتب طبيعي</v>
      </c>
    </row>
    <row r="837" spans="1:16" x14ac:dyDescent="0.3">
      <c r="A837" s="9">
        <v>57713</v>
      </c>
      <c r="B837" s="9" t="s">
        <v>1707</v>
      </c>
      <c r="C837" s="9" t="s">
        <v>1708</v>
      </c>
      <c r="D837" s="9" t="s">
        <v>146</v>
      </c>
      <c r="E837" s="9" t="s">
        <v>17</v>
      </c>
      <c r="F837" s="10">
        <v>33579</v>
      </c>
      <c r="G837" s="7">
        <f t="shared" ca="1" si="52"/>
        <v>34.416666666666664</v>
      </c>
      <c r="H837" s="9" t="s">
        <v>36</v>
      </c>
      <c r="I837" s="9" t="s">
        <v>25</v>
      </c>
      <c r="J837" s="9" t="s">
        <v>21</v>
      </c>
      <c r="K837" s="9" t="s">
        <v>27</v>
      </c>
      <c r="L837" s="10">
        <v>45559</v>
      </c>
      <c r="M837" s="9">
        <f t="shared" ca="1" si="53"/>
        <v>1.6194444444444445</v>
      </c>
      <c r="N837" s="9">
        <v>5775</v>
      </c>
      <c r="O837" s="9" t="str">
        <f t="shared" si="54"/>
        <v>سبتمبر</v>
      </c>
      <c r="P837" s="7" t="str">
        <f t="shared" si="55"/>
        <v>راتب عالي</v>
      </c>
    </row>
    <row r="838" spans="1:16" x14ac:dyDescent="0.3">
      <c r="A838" s="7">
        <v>53198</v>
      </c>
      <c r="B838" s="7" t="s">
        <v>1709</v>
      </c>
      <c r="C838" s="7" t="s">
        <v>1710</v>
      </c>
      <c r="D838" s="7" t="s">
        <v>40</v>
      </c>
      <c r="E838" s="7" t="s">
        <v>17</v>
      </c>
      <c r="F838" s="8">
        <v>33642</v>
      </c>
      <c r="G838" s="7">
        <f t="shared" ca="1" si="52"/>
        <v>34.24722222222222</v>
      </c>
      <c r="H838" s="7" t="s">
        <v>18</v>
      </c>
      <c r="I838" s="7" t="s">
        <v>25</v>
      </c>
      <c r="J838" s="7" t="s">
        <v>27</v>
      </c>
      <c r="K838" s="7" t="s">
        <v>31</v>
      </c>
      <c r="L838" s="8">
        <v>45560</v>
      </c>
      <c r="M838" s="7">
        <f t="shared" ca="1" si="53"/>
        <v>1.6166666666666667</v>
      </c>
      <c r="N838" s="7">
        <v>4277</v>
      </c>
      <c r="O838" s="7" t="str">
        <f t="shared" si="54"/>
        <v>سبتمبر</v>
      </c>
      <c r="P838" s="7" t="str">
        <f t="shared" si="55"/>
        <v>راتب عالي</v>
      </c>
    </row>
    <row r="839" spans="1:16" x14ac:dyDescent="0.3">
      <c r="A839" s="9">
        <v>57008</v>
      </c>
      <c r="B839" s="9" t="s">
        <v>1711</v>
      </c>
      <c r="C839" s="9" t="s">
        <v>1712</v>
      </c>
      <c r="D839" s="9" t="s">
        <v>43</v>
      </c>
      <c r="E839" s="9" t="s">
        <v>17</v>
      </c>
      <c r="F839" s="10">
        <v>36939</v>
      </c>
      <c r="G839" s="7">
        <f t="shared" ca="1" si="52"/>
        <v>25.222222222222221</v>
      </c>
      <c r="H839" s="9" t="s">
        <v>36</v>
      </c>
      <c r="I839" s="9" t="s">
        <v>25</v>
      </c>
      <c r="J839" s="9" t="s">
        <v>20</v>
      </c>
      <c r="K839" s="9" t="s">
        <v>21</v>
      </c>
      <c r="L839" s="10">
        <v>45561</v>
      </c>
      <c r="M839" s="9">
        <f t="shared" ca="1" si="53"/>
        <v>1.6138888888888889</v>
      </c>
      <c r="N839" s="9">
        <v>6361</v>
      </c>
      <c r="O839" s="9" t="str">
        <f t="shared" si="54"/>
        <v>سبتمبر</v>
      </c>
      <c r="P839" s="7" t="str">
        <f t="shared" si="55"/>
        <v>راتب طبيعي</v>
      </c>
    </row>
    <row r="840" spans="1:16" x14ac:dyDescent="0.3">
      <c r="A840" s="7">
        <v>52521</v>
      </c>
      <c r="B840" s="7" t="s">
        <v>1713</v>
      </c>
      <c r="C840" s="7" t="s">
        <v>1714</v>
      </c>
      <c r="D840" s="7" t="s">
        <v>16</v>
      </c>
      <c r="E840" s="7" t="s">
        <v>35</v>
      </c>
      <c r="F840" s="8">
        <v>30155</v>
      </c>
      <c r="G840" s="7">
        <f t="shared" ca="1" si="52"/>
        <v>43.788888888888891</v>
      </c>
      <c r="H840" s="7" t="s">
        <v>36</v>
      </c>
      <c r="I840" s="7" t="s">
        <v>25</v>
      </c>
      <c r="J840" s="7" t="s">
        <v>20</v>
      </c>
      <c r="K840" s="7" t="s">
        <v>27</v>
      </c>
      <c r="L840" s="8">
        <v>45562</v>
      </c>
      <c r="M840" s="7">
        <f t="shared" ca="1" si="53"/>
        <v>1.6111111111111112</v>
      </c>
      <c r="N840" s="7">
        <v>4998</v>
      </c>
      <c r="O840" s="7" t="str">
        <f t="shared" si="54"/>
        <v>سبتمبر</v>
      </c>
      <c r="P840" s="7" t="str">
        <f t="shared" si="55"/>
        <v>راتب عالي</v>
      </c>
    </row>
    <row r="841" spans="1:16" x14ac:dyDescent="0.3">
      <c r="A841" s="9">
        <v>59554</v>
      </c>
      <c r="B841" s="9" t="s">
        <v>1715</v>
      </c>
      <c r="C841" s="9" t="s">
        <v>1716</v>
      </c>
      <c r="D841" s="9" t="s">
        <v>16</v>
      </c>
      <c r="E841" s="9" t="s">
        <v>17</v>
      </c>
      <c r="F841" s="10">
        <v>37370</v>
      </c>
      <c r="G841" s="7">
        <f t="shared" ca="1" si="52"/>
        <v>24.036111111111111</v>
      </c>
      <c r="H841" s="9" t="s">
        <v>36</v>
      </c>
      <c r="I841" s="9" t="s">
        <v>25</v>
      </c>
      <c r="J841" s="9" t="s">
        <v>26</v>
      </c>
      <c r="K841" s="9" t="s">
        <v>21</v>
      </c>
      <c r="L841" s="10">
        <v>45563</v>
      </c>
      <c r="M841" s="9">
        <f t="shared" ca="1" si="53"/>
        <v>1.6083333333333334</v>
      </c>
      <c r="N841" s="9">
        <v>5508</v>
      </c>
      <c r="O841" s="9" t="str">
        <f t="shared" si="54"/>
        <v>سبتمبر</v>
      </c>
      <c r="P841" s="7" t="str">
        <f t="shared" si="55"/>
        <v>راتب عالي</v>
      </c>
    </row>
    <row r="842" spans="1:16" x14ac:dyDescent="0.3">
      <c r="A842" s="7">
        <v>50945</v>
      </c>
      <c r="B842" s="7" t="s">
        <v>1717</v>
      </c>
      <c r="C842" s="7" t="s">
        <v>1718</v>
      </c>
      <c r="D842" s="7" t="s">
        <v>30</v>
      </c>
      <c r="E842" s="7" t="s">
        <v>35</v>
      </c>
      <c r="F842" s="8">
        <v>34248</v>
      </c>
      <c r="G842" s="7">
        <f t="shared" ca="1" si="52"/>
        <v>32.586111111111109</v>
      </c>
      <c r="H842" s="7" t="s">
        <v>18</v>
      </c>
      <c r="I842" s="7" t="s">
        <v>46</v>
      </c>
      <c r="J842" s="7" t="s">
        <v>31</v>
      </c>
      <c r="K842" s="7" t="s">
        <v>37</v>
      </c>
      <c r="L842" s="8">
        <v>45564</v>
      </c>
      <c r="M842" s="7">
        <f t="shared" ca="1" si="53"/>
        <v>1.6055555555555556</v>
      </c>
      <c r="N842" s="7">
        <v>14696</v>
      </c>
      <c r="O842" s="7" t="str">
        <f t="shared" si="54"/>
        <v>سبتمبر</v>
      </c>
      <c r="P842" s="7" t="str">
        <f t="shared" si="55"/>
        <v>راتب طبيعي</v>
      </c>
    </row>
    <row r="843" spans="1:16" x14ac:dyDescent="0.3">
      <c r="A843" s="9">
        <v>51482</v>
      </c>
      <c r="B843" s="9" t="s">
        <v>1719</v>
      </c>
      <c r="C843" s="9" t="s">
        <v>1720</v>
      </c>
      <c r="D843" s="9" t="s">
        <v>53</v>
      </c>
      <c r="E843" s="9" t="s">
        <v>35</v>
      </c>
      <c r="F843" s="10">
        <v>37694</v>
      </c>
      <c r="G843" s="7">
        <f t="shared" ca="1" si="52"/>
        <v>23.147222222222222</v>
      </c>
      <c r="H843" s="9" t="s">
        <v>36</v>
      </c>
      <c r="I843" s="9" t="s">
        <v>46</v>
      </c>
      <c r="J843" s="9" t="s">
        <v>31</v>
      </c>
      <c r="K843" s="9" t="s">
        <v>37</v>
      </c>
      <c r="L843" s="10">
        <v>45565</v>
      </c>
      <c r="M843" s="9">
        <f t="shared" ca="1" si="53"/>
        <v>1.6027777777777779</v>
      </c>
      <c r="N843" s="9">
        <v>13987</v>
      </c>
      <c r="O843" s="9" t="str">
        <f t="shared" si="54"/>
        <v>سبتمبر</v>
      </c>
      <c r="P843" s="7" t="str">
        <f t="shared" si="55"/>
        <v>راتب طبيعي</v>
      </c>
    </row>
    <row r="844" spans="1:16" x14ac:dyDescent="0.3">
      <c r="A844" s="7">
        <v>50240</v>
      </c>
      <c r="B844" s="7" t="s">
        <v>1721</v>
      </c>
      <c r="C844" s="7" t="s">
        <v>1722</v>
      </c>
      <c r="D844" s="7" t="s">
        <v>95</v>
      </c>
      <c r="E844" s="7" t="s">
        <v>35</v>
      </c>
      <c r="F844" s="8">
        <v>32966</v>
      </c>
      <c r="G844" s="7">
        <f t="shared" ca="1" si="52"/>
        <v>36.094444444444441</v>
      </c>
      <c r="H844" s="7" t="s">
        <v>36</v>
      </c>
      <c r="I844" s="7" t="s">
        <v>25</v>
      </c>
      <c r="J844" s="7" t="s">
        <v>20</v>
      </c>
      <c r="K844" s="7" t="s">
        <v>27</v>
      </c>
      <c r="L844" s="8">
        <v>45566</v>
      </c>
      <c r="M844" s="7">
        <f t="shared" ca="1" si="53"/>
        <v>1.6</v>
      </c>
      <c r="N844" s="7">
        <v>4566</v>
      </c>
      <c r="O844" s="7" t="str">
        <f t="shared" si="54"/>
        <v>أكتوبر</v>
      </c>
      <c r="P844" s="7" t="str">
        <f t="shared" si="55"/>
        <v>راتب عالي</v>
      </c>
    </row>
    <row r="845" spans="1:16" x14ac:dyDescent="0.3">
      <c r="A845" s="9">
        <v>52183</v>
      </c>
      <c r="B845" s="9" t="s">
        <v>1723</v>
      </c>
      <c r="C845" s="9" t="s">
        <v>1724</v>
      </c>
      <c r="D845" s="9" t="s">
        <v>40</v>
      </c>
      <c r="E845" s="9" t="s">
        <v>17</v>
      </c>
      <c r="F845" s="10">
        <v>30869</v>
      </c>
      <c r="G845" s="7">
        <f t="shared" ca="1" si="52"/>
        <v>41.836111111111109</v>
      </c>
      <c r="H845" s="9" t="s">
        <v>36</v>
      </c>
      <c r="I845" s="9" t="s">
        <v>19</v>
      </c>
      <c r="J845" s="9" t="s">
        <v>21</v>
      </c>
      <c r="K845" s="9" t="s">
        <v>27</v>
      </c>
      <c r="L845" s="10">
        <v>45567</v>
      </c>
      <c r="M845" s="9">
        <f t="shared" ca="1" si="53"/>
        <v>1.5972222222222223</v>
      </c>
      <c r="N845" s="9">
        <v>24507</v>
      </c>
      <c r="O845" s="9" t="str">
        <f t="shared" si="54"/>
        <v>أكتوبر</v>
      </c>
      <c r="P845" s="7" t="str">
        <f t="shared" si="55"/>
        <v>راتب طبيعي</v>
      </c>
    </row>
    <row r="846" spans="1:16" x14ac:dyDescent="0.3">
      <c r="A846" s="7">
        <v>52009</v>
      </c>
      <c r="B846" s="7" t="s">
        <v>1725</v>
      </c>
      <c r="C846" s="7" t="s">
        <v>1726</v>
      </c>
      <c r="D846" s="7" t="s">
        <v>40</v>
      </c>
      <c r="E846" s="7" t="s">
        <v>17</v>
      </c>
      <c r="F846" s="8">
        <v>34464</v>
      </c>
      <c r="G846" s="7">
        <f t="shared" ca="1" si="52"/>
        <v>31.991666666666667</v>
      </c>
      <c r="H846" s="7" t="s">
        <v>36</v>
      </c>
      <c r="I846" s="7" t="s">
        <v>25</v>
      </c>
      <c r="J846" s="7" t="s">
        <v>31</v>
      </c>
      <c r="K846" s="7" t="s">
        <v>27</v>
      </c>
      <c r="L846" s="8">
        <v>45568</v>
      </c>
      <c r="M846" s="7">
        <f t="shared" ca="1" si="53"/>
        <v>1.5944444444444446</v>
      </c>
      <c r="N846" s="7">
        <v>3496</v>
      </c>
      <c r="O846" s="7" t="str">
        <f t="shared" si="54"/>
        <v>أكتوبر</v>
      </c>
      <c r="P846" s="7" t="str">
        <f t="shared" si="55"/>
        <v>راتب عالي</v>
      </c>
    </row>
    <row r="847" spans="1:16" x14ac:dyDescent="0.3">
      <c r="A847" s="9">
        <v>54915</v>
      </c>
      <c r="B847" s="9" t="s">
        <v>1727</v>
      </c>
      <c r="C847" s="9" t="s">
        <v>1728</v>
      </c>
      <c r="D847" s="9" t="s">
        <v>43</v>
      </c>
      <c r="E847" s="9" t="s">
        <v>17</v>
      </c>
      <c r="F847" s="10">
        <v>31398</v>
      </c>
      <c r="G847" s="7">
        <f t="shared" ca="1" si="52"/>
        <v>40.388888888888886</v>
      </c>
      <c r="H847" s="9" t="s">
        <v>18</v>
      </c>
      <c r="I847" s="9" t="s">
        <v>25</v>
      </c>
      <c r="J847" s="9" t="s">
        <v>27</v>
      </c>
      <c r="K847" s="9" t="s">
        <v>27</v>
      </c>
      <c r="L847" s="10">
        <v>45569</v>
      </c>
      <c r="M847" s="9">
        <f t="shared" ca="1" si="53"/>
        <v>1.5916666666666666</v>
      </c>
      <c r="N847" s="9">
        <v>4126</v>
      </c>
      <c r="O847" s="9" t="str">
        <f t="shared" si="54"/>
        <v>أكتوبر</v>
      </c>
      <c r="P847" s="7" t="str">
        <f t="shared" si="55"/>
        <v>راتب عالي</v>
      </c>
    </row>
    <row r="848" spans="1:16" x14ac:dyDescent="0.3">
      <c r="A848" s="7">
        <v>52551</v>
      </c>
      <c r="B848" s="7" t="s">
        <v>1729</v>
      </c>
      <c r="C848" s="7" t="s">
        <v>1730</v>
      </c>
      <c r="D848" s="7" t="s">
        <v>40</v>
      </c>
      <c r="E848" s="7" t="s">
        <v>35</v>
      </c>
      <c r="F848" s="8">
        <v>30850</v>
      </c>
      <c r="G848" s="7">
        <f t="shared" ca="1" si="52"/>
        <v>41.888888888888886</v>
      </c>
      <c r="H848" s="7" t="s">
        <v>36</v>
      </c>
      <c r="I848" s="7" t="s">
        <v>25</v>
      </c>
      <c r="J848" s="7" t="s">
        <v>27</v>
      </c>
      <c r="K848" s="7" t="s">
        <v>31</v>
      </c>
      <c r="L848" s="8">
        <v>45570</v>
      </c>
      <c r="M848" s="7">
        <f t="shared" ca="1" si="53"/>
        <v>1.5888888888888888</v>
      </c>
      <c r="N848" s="7">
        <v>4827</v>
      </c>
      <c r="O848" s="7" t="str">
        <f t="shared" si="54"/>
        <v>أكتوبر</v>
      </c>
      <c r="P848" s="7" t="str">
        <f t="shared" si="55"/>
        <v>راتب عالي</v>
      </c>
    </row>
    <row r="849" spans="1:16" x14ac:dyDescent="0.3">
      <c r="A849" s="9">
        <v>53024</v>
      </c>
      <c r="B849" s="9" t="s">
        <v>1731</v>
      </c>
      <c r="C849" s="9" t="s">
        <v>1732</v>
      </c>
      <c r="D849" s="9" t="s">
        <v>43</v>
      </c>
      <c r="E849" s="9" t="s">
        <v>17</v>
      </c>
      <c r="F849" s="10">
        <v>37715</v>
      </c>
      <c r="G849" s="7">
        <f t="shared" ca="1" si="52"/>
        <v>23.091666666666665</v>
      </c>
      <c r="H849" s="9" t="s">
        <v>18</v>
      </c>
      <c r="I849" s="9" t="s">
        <v>25</v>
      </c>
      <c r="J849" s="9" t="s">
        <v>26</v>
      </c>
      <c r="K849" s="9" t="s">
        <v>31</v>
      </c>
      <c r="L849" s="10">
        <v>45571</v>
      </c>
      <c r="M849" s="9">
        <f t="shared" ca="1" si="53"/>
        <v>1.586111111111111</v>
      </c>
      <c r="N849" s="9">
        <v>5422</v>
      </c>
      <c r="O849" s="9" t="str">
        <f t="shared" si="54"/>
        <v>أكتوبر</v>
      </c>
      <c r="P849" s="7" t="str">
        <f t="shared" si="55"/>
        <v>راتب عالي</v>
      </c>
    </row>
    <row r="850" spans="1:16" x14ac:dyDescent="0.3">
      <c r="A850" s="7">
        <v>53300</v>
      </c>
      <c r="B850" s="7" t="s">
        <v>1733</v>
      </c>
      <c r="C850" s="7" t="s">
        <v>1734</v>
      </c>
      <c r="D850" s="7" t="s">
        <v>66</v>
      </c>
      <c r="E850" s="7" t="s">
        <v>35</v>
      </c>
      <c r="F850" s="8">
        <v>32665</v>
      </c>
      <c r="G850" s="7">
        <f t="shared" ca="1" si="52"/>
        <v>36.919444444444444</v>
      </c>
      <c r="H850" s="7" t="s">
        <v>36</v>
      </c>
      <c r="I850" s="7" t="s">
        <v>46</v>
      </c>
      <c r="J850" s="7" t="s">
        <v>31</v>
      </c>
      <c r="K850" s="7" t="s">
        <v>31</v>
      </c>
      <c r="L850" s="8">
        <v>45572</v>
      </c>
      <c r="M850" s="7">
        <f t="shared" ca="1" si="53"/>
        <v>1.5833333333333333</v>
      </c>
      <c r="N850" s="7">
        <v>14492</v>
      </c>
      <c r="O850" s="7" t="str">
        <f t="shared" si="54"/>
        <v>أكتوبر</v>
      </c>
      <c r="P850" s="7" t="str">
        <f t="shared" si="55"/>
        <v>راتب طبيعي</v>
      </c>
    </row>
    <row r="851" spans="1:16" x14ac:dyDescent="0.3">
      <c r="A851" s="9">
        <v>50837</v>
      </c>
      <c r="B851" s="9" t="s">
        <v>1735</v>
      </c>
      <c r="C851" s="9" t="s">
        <v>1736</v>
      </c>
      <c r="D851" s="9" t="s">
        <v>146</v>
      </c>
      <c r="E851" s="9" t="s">
        <v>17</v>
      </c>
      <c r="F851" s="10">
        <v>32663</v>
      </c>
      <c r="G851" s="7">
        <f t="shared" ca="1" si="52"/>
        <v>36.924999999999997</v>
      </c>
      <c r="H851" s="9" t="s">
        <v>36</v>
      </c>
      <c r="I851" s="9" t="s">
        <v>25</v>
      </c>
      <c r="J851" s="9" t="s">
        <v>31</v>
      </c>
      <c r="K851" s="9" t="s">
        <v>26</v>
      </c>
      <c r="L851" s="10">
        <v>45573</v>
      </c>
      <c r="M851" s="9">
        <f t="shared" ca="1" si="53"/>
        <v>1.5805555555555555</v>
      </c>
      <c r="N851" s="9">
        <v>4002</v>
      </c>
      <c r="O851" s="9" t="str">
        <f t="shared" si="54"/>
        <v>أكتوبر</v>
      </c>
      <c r="P851" s="7" t="str">
        <f t="shared" si="55"/>
        <v>راتب عالي</v>
      </c>
    </row>
    <row r="852" spans="1:16" x14ac:dyDescent="0.3">
      <c r="A852" s="7">
        <v>59783</v>
      </c>
      <c r="B852" s="7" t="s">
        <v>1737</v>
      </c>
      <c r="C852" s="7" t="s">
        <v>1738</v>
      </c>
      <c r="D852" s="7" t="s">
        <v>24</v>
      </c>
      <c r="E852" s="7" t="s">
        <v>17</v>
      </c>
      <c r="F852" s="8">
        <v>35934</v>
      </c>
      <c r="G852" s="7">
        <f t="shared" ca="1" si="52"/>
        <v>27.966666666666665</v>
      </c>
      <c r="H852" s="7" t="s">
        <v>36</v>
      </c>
      <c r="I852" s="7" t="s">
        <v>25</v>
      </c>
      <c r="J852" s="7" t="s">
        <v>31</v>
      </c>
      <c r="K852" s="7" t="s">
        <v>27</v>
      </c>
      <c r="L852" s="8">
        <v>45574</v>
      </c>
      <c r="M852" s="7">
        <f t="shared" ca="1" si="53"/>
        <v>1.5777777777777777</v>
      </c>
      <c r="N852" s="7">
        <v>4582</v>
      </c>
      <c r="O852" s="7" t="str">
        <f t="shared" si="54"/>
        <v>أكتوبر</v>
      </c>
      <c r="P852" s="7" t="str">
        <f t="shared" si="55"/>
        <v>راتب عالي</v>
      </c>
    </row>
    <row r="853" spans="1:16" x14ac:dyDescent="0.3">
      <c r="A853" s="9">
        <v>51716</v>
      </c>
      <c r="B853" s="9" t="s">
        <v>1739</v>
      </c>
      <c r="C853" s="9" t="s">
        <v>1740</v>
      </c>
      <c r="D853" s="9" t="s">
        <v>40</v>
      </c>
      <c r="E853" s="9" t="s">
        <v>35</v>
      </c>
      <c r="F853" s="10">
        <v>31028</v>
      </c>
      <c r="G853" s="7">
        <f t="shared" ca="1" si="52"/>
        <v>41.402777777777779</v>
      </c>
      <c r="H853" s="9" t="s">
        <v>18</v>
      </c>
      <c r="I853" s="9" t="s">
        <v>25</v>
      </c>
      <c r="J853" s="9" t="s">
        <v>20</v>
      </c>
      <c r="K853" s="9" t="s">
        <v>21</v>
      </c>
      <c r="L853" s="10">
        <v>45575</v>
      </c>
      <c r="M853" s="9">
        <f t="shared" ca="1" si="53"/>
        <v>1.575</v>
      </c>
      <c r="N853" s="9">
        <v>6837</v>
      </c>
      <c r="O853" s="9" t="str">
        <f t="shared" si="54"/>
        <v>أكتوبر</v>
      </c>
      <c r="P853" s="7" t="str">
        <f t="shared" si="55"/>
        <v>راتب طبيعي</v>
      </c>
    </row>
    <row r="854" spans="1:16" x14ac:dyDescent="0.3">
      <c r="A854" s="7">
        <v>50297</v>
      </c>
      <c r="B854" s="7" t="s">
        <v>1741</v>
      </c>
      <c r="C854" s="7" t="s">
        <v>1742</v>
      </c>
      <c r="D854" s="7" t="s">
        <v>146</v>
      </c>
      <c r="E854" s="7" t="s">
        <v>17</v>
      </c>
      <c r="F854" s="8">
        <v>34642</v>
      </c>
      <c r="G854" s="7">
        <f t="shared" ca="1" si="52"/>
        <v>31.508333333333333</v>
      </c>
      <c r="H854" s="7" t="s">
        <v>36</v>
      </c>
      <c r="I854" s="7" t="s">
        <v>19</v>
      </c>
      <c r="J854" s="7" t="s">
        <v>31</v>
      </c>
      <c r="K854" s="7" t="s">
        <v>26</v>
      </c>
      <c r="L854" s="8">
        <v>45576</v>
      </c>
      <c r="M854" s="7">
        <f t="shared" ca="1" si="53"/>
        <v>1.5722222222222222</v>
      </c>
      <c r="N854" s="7">
        <v>18238</v>
      </c>
      <c r="O854" s="7" t="str">
        <f t="shared" si="54"/>
        <v>أكتوبر</v>
      </c>
      <c r="P854" s="7" t="str">
        <f t="shared" si="55"/>
        <v>راتب طبيعي</v>
      </c>
    </row>
    <row r="855" spans="1:16" x14ac:dyDescent="0.3">
      <c r="A855" s="9">
        <v>54676</v>
      </c>
      <c r="B855" s="9" t="s">
        <v>1743</v>
      </c>
      <c r="C855" s="9" t="s">
        <v>1744</v>
      </c>
      <c r="D855" s="9" t="s">
        <v>146</v>
      </c>
      <c r="E855" s="9" t="s">
        <v>35</v>
      </c>
      <c r="F855" s="10">
        <v>30900</v>
      </c>
      <c r="G855" s="7">
        <f t="shared" ca="1" si="52"/>
        <v>41.75277777777778</v>
      </c>
      <c r="H855" s="9" t="s">
        <v>18</v>
      </c>
      <c r="I855" s="9" t="s">
        <v>25</v>
      </c>
      <c r="J855" s="9" t="s">
        <v>27</v>
      </c>
      <c r="K855" s="9" t="s">
        <v>20</v>
      </c>
      <c r="L855" s="10">
        <v>45577</v>
      </c>
      <c r="M855" s="9">
        <f t="shared" ca="1" si="53"/>
        <v>1.5694444444444444</v>
      </c>
      <c r="N855" s="9">
        <v>4867</v>
      </c>
      <c r="O855" s="9" t="str">
        <f t="shared" si="54"/>
        <v>أكتوبر</v>
      </c>
      <c r="P855" s="7" t="str">
        <f t="shared" si="55"/>
        <v>راتب عالي</v>
      </c>
    </row>
    <row r="856" spans="1:16" x14ac:dyDescent="0.3">
      <c r="A856" s="7">
        <v>53167</v>
      </c>
      <c r="B856" s="7" t="s">
        <v>1745</v>
      </c>
      <c r="C856" s="7" t="s">
        <v>1746</v>
      </c>
      <c r="D856" s="7" t="s">
        <v>16</v>
      </c>
      <c r="E856" s="7" t="s">
        <v>17</v>
      </c>
      <c r="F856" s="8">
        <v>33813</v>
      </c>
      <c r="G856" s="7">
        <f t="shared" ca="1" si="52"/>
        <v>33.774999999999999</v>
      </c>
      <c r="H856" s="7" t="s">
        <v>36</v>
      </c>
      <c r="I856" s="7" t="s">
        <v>25</v>
      </c>
      <c r="J856" s="7" t="s">
        <v>21</v>
      </c>
      <c r="K856" s="7" t="s">
        <v>37</v>
      </c>
      <c r="L856" s="8">
        <v>45578</v>
      </c>
      <c r="M856" s="7">
        <f t="shared" ca="1" si="53"/>
        <v>1.5666666666666667</v>
      </c>
      <c r="N856" s="7">
        <v>3008</v>
      </c>
      <c r="O856" s="7" t="str">
        <f t="shared" si="54"/>
        <v>أكتوبر</v>
      </c>
      <c r="P856" s="7" t="str">
        <f t="shared" si="55"/>
        <v>راتب عالي</v>
      </c>
    </row>
    <row r="857" spans="1:16" x14ac:dyDescent="0.3">
      <c r="A857" s="9">
        <v>53020</v>
      </c>
      <c r="B857" s="9" t="s">
        <v>1747</v>
      </c>
      <c r="C857" s="9" t="s">
        <v>1748</v>
      </c>
      <c r="D857" s="9" t="s">
        <v>24</v>
      </c>
      <c r="E857" s="9" t="s">
        <v>17</v>
      </c>
      <c r="F857" s="10">
        <v>36166</v>
      </c>
      <c r="G857" s="7">
        <f t="shared" ca="1" si="52"/>
        <v>27.336111111111112</v>
      </c>
      <c r="H857" s="9" t="s">
        <v>36</v>
      </c>
      <c r="I857" s="9" t="s">
        <v>46</v>
      </c>
      <c r="J857" s="9" t="s">
        <v>26</v>
      </c>
      <c r="K857" s="9" t="s">
        <v>20</v>
      </c>
      <c r="L857" s="10">
        <v>45579</v>
      </c>
      <c r="M857" s="9">
        <f t="shared" ca="1" si="53"/>
        <v>1.5638888888888889</v>
      </c>
      <c r="N857" s="9">
        <v>10576</v>
      </c>
      <c r="O857" s="9" t="str">
        <f t="shared" si="54"/>
        <v>أكتوبر</v>
      </c>
      <c r="P857" s="7" t="str">
        <f t="shared" si="55"/>
        <v>راتب طبيعي</v>
      </c>
    </row>
    <row r="858" spans="1:16" x14ac:dyDescent="0.3">
      <c r="A858" s="7">
        <v>57396</v>
      </c>
      <c r="B858" s="7" t="s">
        <v>1749</v>
      </c>
      <c r="C858" s="7" t="s">
        <v>1750</v>
      </c>
      <c r="D858" s="7" t="s">
        <v>95</v>
      </c>
      <c r="E858" s="7" t="s">
        <v>17</v>
      </c>
      <c r="F858" s="8">
        <v>35708</v>
      </c>
      <c r="G858" s="7">
        <f t="shared" ca="1" si="52"/>
        <v>28.588888888888889</v>
      </c>
      <c r="H858" s="7" t="s">
        <v>36</v>
      </c>
      <c r="I858" s="7" t="s">
        <v>25</v>
      </c>
      <c r="J858" s="7" t="s">
        <v>20</v>
      </c>
      <c r="K858" s="7" t="s">
        <v>20</v>
      </c>
      <c r="L858" s="8">
        <v>45580</v>
      </c>
      <c r="M858" s="7">
        <f t="shared" ca="1" si="53"/>
        <v>1.5611111111111111</v>
      </c>
      <c r="N858" s="7">
        <v>3309</v>
      </c>
      <c r="O858" s="7" t="str">
        <f t="shared" si="54"/>
        <v>أكتوبر</v>
      </c>
      <c r="P858" s="7" t="str">
        <f t="shared" si="55"/>
        <v>راتب عالي</v>
      </c>
    </row>
    <row r="859" spans="1:16" x14ac:dyDescent="0.3">
      <c r="A859" s="9">
        <v>54763</v>
      </c>
      <c r="B859" s="9" t="s">
        <v>1751</v>
      </c>
      <c r="C859" s="9" t="s">
        <v>1752</v>
      </c>
      <c r="D859" s="9" t="s">
        <v>40</v>
      </c>
      <c r="E859" s="9" t="s">
        <v>35</v>
      </c>
      <c r="F859" s="10">
        <v>36075</v>
      </c>
      <c r="G859" s="7">
        <f t="shared" ca="1" si="52"/>
        <v>27.583333333333332</v>
      </c>
      <c r="H859" s="9" t="s">
        <v>18</v>
      </c>
      <c r="I859" s="9" t="s">
        <v>25</v>
      </c>
      <c r="J859" s="9" t="s">
        <v>26</v>
      </c>
      <c r="K859" s="9" t="s">
        <v>37</v>
      </c>
      <c r="L859" s="10">
        <v>45581</v>
      </c>
      <c r="M859" s="9">
        <f t="shared" ca="1" si="53"/>
        <v>1.5583333333333333</v>
      </c>
      <c r="N859" s="9">
        <v>4472</v>
      </c>
      <c r="O859" s="9" t="str">
        <f t="shared" si="54"/>
        <v>أكتوبر</v>
      </c>
      <c r="P859" s="7" t="str">
        <f t="shared" si="55"/>
        <v>راتب عالي</v>
      </c>
    </row>
    <row r="860" spans="1:16" x14ac:dyDescent="0.3">
      <c r="A860" s="7">
        <v>59000</v>
      </c>
      <c r="B860" s="7" t="s">
        <v>1753</v>
      </c>
      <c r="C860" s="7" t="s">
        <v>1754</v>
      </c>
      <c r="D860" s="7" t="s">
        <v>66</v>
      </c>
      <c r="E860" s="7" t="s">
        <v>35</v>
      </c>
      <c r="F860" s="8">
        <v>37829</v>
      </c>
      <c r="G860" s="7">
        <f t="shared" ca="1" si="52"/>
        <v>22.777777777777779</v>
      </c>
      <c r="H860" s="7" t="s">
        <v>36</v>
      </c>
      <c r="I860" s="7" t="s">
        <v>25</v>
      </c>
      <c r="J860" s="7" t="s">
        <v>20</v>
      </c>
      <c r="K860" s="7" t="s">
        <v>21</v>
      </c>
      <c r="L860" s="8">
        <v>45582</v>
      </c>
      <c r="M860" s="7">
        <f t="shared" ca="1" si="53"/>
        <v>1.5555555555555556</v>
      </c>
      <c r="N860" s="7">
        <v>4661</v>
      </c>
      <c r="O860" s="7" t="str">
        <f t="shared" si="54"/>
        <v>أكتوبر</v>
      </c>
      <c r="P860" s="7" t="str">
        <f t="shared" si="55"/>
        <v>راتب عالي</v>
      </c>
    </row>
    <row r="861" spans="1:16" x14ac:dyDescent="0.3">
      <c r="A861" s="9">
        <v>56680</v>
      </c>
      <c r="B861" s="9" t="s">
        <v>1755</v>
      </c>
      <c r="C861" s="9" t="s">
        <v>1756</v>
      </c>
      <c r="D861" s="9" t="s">
        <v>40</v>
      </c>
      <c r="E861" s="9" t="s">
        <v>17</v>
      </c>
      <c r="F861" s="10">
        <v>33290</v>
      </c>
      <c r="G861" s="7">
        <f t="shared" ca="1" si="52"/>
        <v>35.211111111111109</v>
      </c>
      <c r="H861" s="9" t="s">
        <v>36</v>
      </c>
      <c r="I861" s="9" t="s">
        <v>25</v>
      </c>
      <c r="J861" s="9" t="s">
        <v>27</v>
      </c>
      <c r="K861" s="9" t="s">
        <v>21</v>
      </c>
      <c r="L861" s="10">
        <v>45583</v>
      </c>
      <c r="M861" s="9">
        <f t="shared" ca="1" si="53"/>
        <v>1.5527777777777778</v>
      </c>
      <c r="N861" s="9">
        <v>4209</v>
      </c>
      <c r="O861" s="9" t="str">
        <f t="shared" si="54"/>
        <v>أكتوبر</v>
      </c>
      <c r="P861" s="7" t="str">
        <f t="shared" si="55"/>
        <v>راتب عالي</v>
      </c>
    </row>
    <row r="862" spans="1:16" x14ac:dyDescent="0.3">
      <c r="A862" s="7">
        <v>50278</v>
      </c>
      <c r="B862" s="7" t="s">
        <v>1757</v>
      </c>
      <c r="C862" s="7" t="s">
        <v>1758</v>
      </c>
      <c r="D862" s="7" t="s">
        <v>66</v>
      </c>
      <c r="E862" s="7" t="s">
        <v>35</v>
      </c>
      <c r="F862" s="8">
        <v>37297</v>
      </c>
      <c r="G862" s="7">
        <f t="shared" ca="1" si="52"/>
        <v>24.241666666666667</v>
      </c>
      <c r="H862" s="7" t="s">
        <v>18</v>
      </c>
      <c r="I862" s="7" t="s">
        <v>19</v>
      </c>
      <c r="J862" s="7" t="s">
        <v>20</v>
      </c>
      <c r="K862" s="7" t="s">
        <v>37</v>
      </c>
      <c r="L862" s="8">
        <v>45584</v>
      </c>
      <c r="M862" s="7">
        <f t="shared" ca="1" si="53"/>
        <v>1.55</v>
      </c>
      <c r="N862" s="7">
        <v>20905</v>
      </c>
      <c r="O862" s="7" t="str">
        <f t="shared" si="54"/>
        <v>أكتوبر</v>
      </c>
      <c r="P862" s="7" t="str">
        <f t="shared" si="55"/>
        <v>راتب طبيعي</v>
      </c>
    </row>
    <row r="863" spans="1:16" x14ac:dyDescent="0.3">
      <c r="A863" s="9">
        <v>51669</v>
      </c>
      <c r="B863" s="9" t="s">
        <v>1759</v>
      </c>
      <c r="C863" s="9" t="s">
        <v>1760</v>
      </c>
      <c r="D863" s="9" t="s">
        <v>146</v>
      </c>
      <c r="E863" s="9" t="s">
        <v>17</v>
      </c>
      <c r="F863" s="10">
        <v>30050</v>
      </c>
      <c r="G863" s="7">
        <f t="shared" ca="1" si="52"/>
        <v>44.077777777777776</v>
      </c>
      <c r="H863" s="9" t="s">
        <v>36</v>
      </c>
      <c r="I863" s="9" t="s">
        <v>25</v>
      </c>
      <c r="J863" s="9" t="s">
        <v>26</v>
      </c>
      <c r="K863" s="9" t="s">
        <v>21</v>
      </c>
      <c r="L863" s="10">
        <v>45585</v>
      </c>
      <c r="M863" s="9">
        <f t="shared" ca="1" si="53"/>
        <v>1.5472222222222223</v>
      </c>
      <c r="N863" s="9">
        <v>6762</v>
      </c>
      <c r="O863" s="9" t="str">
        <f t="shared" si="54"/>
        <v>أكتوبر</v>
      </c>
      <c r="P863" s="7" t="str">
        <f t="shared" si="55"/>
        <v>راتب طبيعي</v>
      </c>
    </row>
    <row r="864" spans="1:16" x14ac:dyDescent="0.3">
      <c r="A864" s="7">
        <v>52276</v>
      </c>
      <c r="B864" s="7" t="s">
        <v>1761</v>
      </c>
      <c r="C864" s="7" t="s">
        <v>1762</v>
      </c>
      <c r="D864" s="7" t="s">
        <v>34</v>
      </c>
      <c r="E864" s="7" t="s">
        <v>35</v>
      </c>
      <c r="F864" s="8">
        <v>36051</v>
      </c>
      <c r="G864" s="7">
        <f t="shared" ca="1" si="52"/>
        <v>27.65</v>
      </c>
      <c r="H864" s="7" t="s">
        <v>36</v>
      </c>
      <c r="I864" s="7" t="s">
        <v>25</v>
      </c>
      <c r="J864" s="7" t="s">
        <v>27</v>
      </c>
      <c r="K864" s="7" t="s">
        <v>37</v>
      </c>
      <c r="L864" s="8">
        <v>45586</v>
      </c>
      <c r="M864" s="7">
        <f t="shared" ca="1" si="53"/>
        <v>1.5444444444444445</v>
      </c>
      <c r="N864" s="7">
        <v>6316</v>
      </c>
      <c r="O864" s="7" t="str">
        <f t="shared" si="54"/>
        <v>أكتوبر</v>
      </c>
      <c r="P864" s="7" t="str">
        <f t="shared" si="55"/>
        <v>راتب طبيعي</v>
      </c>
    </row>
    <row r="865" spans="1:16" x14ac:dyDescent="0.3">
      <c r="A865" s="9">
        <v>52341</v>
      </c>
      <c r="B865" s="9" t="s">
        <v>1763</v>
      </c>
      <c r="C865" s="9" t="s">
        <v>1764</v>
      </c>
      <c r="D865" s="9" t="s">
        <v>53</v>
      </c>
      <c r="E865" s="9" t="s">
        <v>17</v>
      </c>
      <c r="F865" s="10">
        <v>34451</v>
      </c>
      <c r="G865" s="7">
        <f t="shared" ca="1" si="52"/>
        <v>32.027777777777779</v>
      </c>
      <c r="H865" s="9" t="s">
        <v>18</v>
      </c>
      <c r="I865" s="9" t="s">
        <v>25</v>
      </c>
      <c r="J865" s="9" t="s">
        <v>31</v>
      </c>
      <c r="K865" s="9" t="s">
        <v>21</v>
      </c>
      <c r="L865" s="10">
        <v>45587</v>
      </c>
      <c r="M865" s="9">
        <f t="shared" ca="1" si="53"/>
        <v>1.5416666666666667</v>
      </c>
      <c r="N865" s="9">
        <v>5913</v>
      </c>
      <c r="O865" s="9" t="str">
        <f t="shared" si="54"/>
        <v>أكتوبر</v>
      </c>
      <c r="P865" s="7" t="str">
        <f t="shared" si="55"/>
        <v>راتب عالي</v>
      </c>
    </row>
    <row r="866" spans="1:16" x14ac:dyDescent="0.3">
      <c r="A866" s="7">
        <v>57286</v>
      </c>
      <c r="B866" s="7" t="s">
        <v>1765</v>
      </c>
      <c r="C866" s="7" t="s">
        <v>1766</v>
      </c>
      <c r="D866" s="7" t="s">
        <v>40</v>
      </c>
      <c r="E866" s="7" t="s">
        <v>17</v>
      </c>
      <c r="F866" s="8">
        <v>37658</v>
      </c>
      <c r="G866" s="7">
        <f t="shared" ca="1" si="52"/>
        <v>23.252777777777776</v>
      </c>
      <c r="H866" s="7" t="s">
        <v>18</v>
      </c>
      <c r="I866" s="7" t="s">
        <v>19</v>
      </c>
      <c r="J866" s="7" t="s">
        <v>31</v>
      </c>
      <c r="K866" s="7" t="s">
        <v>37</v>
      </c>
      <c r="L866" s="8">
        <v>45588</v>
      </c>
      <c r="M866" s="7">
        <f t="shared" ca="1" si="53"/>
        <v>1.538888888888889</v>
      </c>
      <c r="N866" s="7">
        <v>25572</v>
      </c>
      <c r="O866" s="7" t="str">
        <f t="shared" si="54"/>
        <v>أكتوبر</v>
      </c>
      <c r="P866" s="7" t="str">
        <f t="shared" si="55"/>
        <v>راتب طبيعي</v>
      </c>
    </row>
    <row r="867" spans="1:16" x14ac:dyDescent="0.3">
      <c r="A867" s="9">
        <v>52957</v>
      </c>
      <c r="B867" s="9" t="s">
        <v>1767</v>
      </c>
      <c r="C867" s="9" t="s">
        <v>1768</v>
      </c>
      <c r="D867" s="9" t="s">
        <v>95</v>
      </c>
      <c r="E867" s="9" t="s">
        <v>17</v>
      </c>
      <c r="F867" s="10">
        <v>37642</v>
      </c>
      <c r="G867" s="7">
        <f t="shared" ca="1" si="52"/>
        <v>23.294444444444444</v>
      </c>
      <c r="H867" s="9" t="s">
        <v>18</v>
      </c>
      <c r="I867" s="9" t="s">
        <v>19</v>
      </c>
      <c r="J867" s="9" t="s">
        <v>31</v>
      </c>
      <c r="K867" s="9" t="s">
        <v>21</v>
      </c>
      <c r="L867" s="10">
        <v>45589</v>
      </c>
      <c r="M867" s="9">
        <f t="shared" ca="1" si="53"/>
        <v>1.5361111111111112</v>
      </c>
      <c r="N867" s="9">
        <v>21805</v>
      </c>
      <c r="O867" s="9" t="str">
        <f t="shared" si="54"/>
        <v>أكتوبر</v>
      </c>
      <c r="P867" s="7" t="str">
        <f t="shared" si="55"/>
        <v>راتب طبيعي</v>
      </c>
    </row>
    <row r="868" spans="1:16" x14ac:dyDescent="0.3">
      <c r="A868" s="7">
        <v>53582</v>
      </c>
      <c r="B868" s="7" t="s">
        <v>1769</v>
      </c>
      <c r="C868" s="7" t="s">
        <v>1770</v>
      </c>
      <c r="D868" s="7" t="s">
        <v>40</v>
      </c>
      <c r="E868" s="7" t="s">
        <v>35</v>
      </c>
      <c r="F868" s="8">
        <v>32335</v>
      </c>
      <c r="G868" s="7">
        <f t="shared" ca="1" si="52"/>
        <v>37.822222222222223</v>
      </c>
      <c r="H868" s="7" t="s">
        <v>18</v>
      </c>
      <c r="I868" s="7" t="s">
        <v>19</v>
      </c>
      <c r="J868" s="7" t="s">
        <v>21</v>
      </c>
      <c r="K868" s="7" t="s">
        <v>27</v>
      </c>
      <c r="L868" s="8">
        <v>45590</v>
      </c>
      <c r="M868" s="7">
        <f t="shared" ca="1" si="53"/>
        <v>1.5333333333333334</v>
      </c>
      <c r="N868" s="7">
        <v>27853</v>
      </c>
      <c r="O868" s="7" t="str">
        <f t="shared" si="54"/>
        <v>أكتوبر</v>
      </c>
      <c r="P868" s="7" t="str">
        <f t="shared" si="55"/>
        <v>راتب طبيعي</v>
      </c>
    </row>
    <row r="869" spans="1:16" x14ac:dyDescent="0.3">
      <c r="A869" s="9">
        <v>52524</v>
      </c>
      <c r="B869" s="9" t="s">
        <v>1771</v>
      </c>
      <c r="C869" s="9" t="s">
        <v>1772</v>
      </c>
      <c r="D869" s="9" t="s">
        <v>24</v>
      </c>
      <c r="E869" s="9" t="s">
        <v>35</v>
      </c>
      <c r="F869" s="10">
        <v>36235</v>
      </c>
      <c r="G869" s="7">
        <f t="shared" ca="1" si="52"/>
        <v>27.141666666666666</v>
      </c>
      <c r="H869" s="9" t="s">
        <v>36</v>
      </c>
      <c r="I869" s="9" t="s">
        <v>46</v>
      </c>
      <c r="J869" s="9" t="s">
        <v>21</v>
      </c>
      <c r="K869" s="9" t="s">
        <v>20</v>
      </c>
      <c r="L869" s="10">
        <v>45591</v>
      </c>
      <c r="M869" s="9">
        <f t="shared" ca="1" si="53"/>
        <v>1.5305555555555554</v>
      </c>
      <c r="N869" s="9">
        <v>14412</v>
      </c>
      <c r="O869" s="9" t="str">
        <f t="shared" si="54"/>
        <v>أكتوبر</v>
      </c>
      <c r="P869" s="7" t="str">
        <f t="shared" si="55"/>
        <v>راتب طبيعي</v>
      </c>
    </row>
    <row r="870" spans="1:16" x14ac:dyDescent="0.3">
      <c r="A870" s="7">
        <v>52567</v>
      </c>
      <c r="B870" s="7" t="s">
        <v>1773</v>
      </c>
      <c r="C870" s="7" t="s">
        <v>1774</v>
      </c>
      <c r="D870" s="7" t="s">
        <v>30</v>
      </c>
      <c r="E870" s="7" t="s">
        <v>17</v>
      </c>
      <c r="F870" s="8">
        <v>34956</v>
      </c>
      <c r="G870" s="7">
        <f t="shared" ca="1" si="52"/>
        <v>30.647222222222222</v>
      </c>
      <c r="H870" s="7" t="s">
        <v>36</v>
      </c>
      <c r="I870" s="7" t="s">
        <v>25</v>
      </c>
      <c r="J870" s="7" t="s">
        <v>20</v>
      </c>
      <c r="K870" s="7" t="s">
        <v>26</v>
      </c>
      <c r="L870" s="8">
        <v>45592</v>
      </c>
      <c r="M870" s="7">
        <f t="shared" ca="1" si="53"/>
        <v>1.5277777777777777</v>
      </c>
      <c r="N870" s="7">
        <v>4992</v>
      </c>
      <c r="O870" s="7" t="str">
        <f t="shared" si="54"/>
        <v>أكتوبر</v>
      </c>
      <c r="P870" s="7" t="str">
        <f t="shared" si="55"/>
        <v>راتب عالي</v>
      </c>
    </row>
    <row r="871" spans="1:16" x14ac:dyDescent="0.3">
      <c r="A871" s="9">
        <v>53275</v>
      </c>
      <c r="B871" s="9" t="s">
        <v>1775</v>
      </c>
      <c r="C871" s="9" t="s">
        <v>1776</v>
      </c>
      <c r="D871" s="9" t="s">
        <v>95</v>
      </c>
      <c r="E871" s="9" t="s">
        <v>35</v>
      </c>
      <c r="F871" s="10">
        <v>33829</v>
      </c>
      <c r="G871" s="7">
        <f t="shared" ca="1" si="52"/>
        <v>33.733333333333334</v>
      </c>
      <c r="H871" s="9" t="s">
        <v>18</v>
      </c>
      <c r="I871" s="9" t="s">
        <v>19</v>
      </c>
      <c r="J871" s="9" t="s">
        <v>20</v>
      </c>
      <c r="K871" s="9" t="s">
        <v>21</v>
      </c>
      <c r="L871" s="10">
        <v>45593</v>
      </c>
      <c r="M871" s="9">
        <f t="shared" ca="1" si="53"/>
        <v>1.5249999999999999</v>
      </c>
      <c r="N871" s="9">
        <v>20880</v>
      </c>
      <c r="O871" s="9" t="str">
        <f t="shared" si="54"/>
        <v>أكتوبر</v>
      </c>
      <c r="P871" s="7" t="str">
        <f t="shared" si="55"/>
        <v>راتب طبيعي</v>
      </c>
    </row>
    <row r="872" spans="1:16" x14ac:dyDescent="0.3">
      <c r="A872" s="7">
        <v>59934</v>
      </c>
      <c r="B872" s="7" t="s">
        <v>1777</v>
      </c>
      <c r="C872" s="7" t="s">
        <v>1778</v>
      </c>
      <c r="D872" s="7" t="s">
        <v>43</v>
      </c>
      <c r="E872" s="7" t="s">
        <v>17</v>
      </c>
      <c r="F872" s="8">
        <v>33416</v>
      </c>
      <c r="G872" s="7">
        <f t="shared" ca="1" si="52"/>
        <v>34.861111111111114</v>
      </c>
      <c r="H872" s="7" t="s">
        <v>36</v>
      </c>
      <c r="I872" s="7" t="s">
        <v>25</v>
      </c>
      <c r="J872" s="7" t="s">
        <v>21</v>
      </c>
      <c r="K872" s="7" t="s">
        <v>31</v>
      </c>
      <c r="L872" s="8">
        <v>45594</v>
      </c>
      <c r="M872" s="7">
        <f t="shared" ca="1" si="53"/>
        <v>1.5222222222222221</v>
      </c>
      <c r="N872" s="7">
        <v>5888</v>
      </c>
      <c r="O872" s="7" t="str">
        <f t="shared" si="54"/>
        <v>أكتوبر</v>
      </c>
      <c r="P872" s="7" t="str">
        <f t="shared" si="55"/>
        <v>راتب عالي</v>
      </c>
    </row>
    <row r="873" spans="1:16" x14ac:dyDescent="0.3">
      <c r="A873" s="9">
        <v>59322</v>
      </c>
      <c r="B873" s="9" t="s">
        <v>1779</v>
      </c>
      <c r="C873" s="9" t="s">
        <v>1780</v>
      </c>
      <c r="D873" s="9" t="s">
        <v>34</v>
      </c>
      <c r="E873" s="9" t="s">
        <v>17</v>
      </c>
      <c r="F873" s="10">
        <v>34028</v>
      </c>
      <c r="G873" s="7">
        <f t="shared" ca="1" si="52"/>
        <v>33.18611111111111</v>
      </c>
      <c r="H873" s="9" t="s">
        <v>18</v>
      </c>
      <c r="I873" s="9" t="s">
        <v>25</v>
      </c>
      <c r="J873" s="9" t="s">
        <v>26</v>
      </c>
      <c r="K873" s="9" t="s">
        <v>20</v>
      </c>
      <c r="L873" s="10">
        <v>45595</v>
      </c>
      <c r="M873" s="9">
        <f t="shared" ca="1" si="53"/>
        <v>1.5194444444444444</v>
      </c>
      <c r="N873" s="9">
        <v>4140</v>
      </c>
      <c r="O873" s="9" t="str">
        <f t="shared" si="54"/>
        <v>أكتوبر</v>
      </c>
      <c r="P873" s="7" t="str">
        <f t="shared" si="55"/>
        <v>راتب عالي</v>
      </c>
    </row>
    <row r="874" spans="1:16" x14ac:dyDescent="0.3">
      <c r="A874" s="7">
        <v>56679</v>
      </c>
      <c r="B874" s="7" t="s">
        <v>1781</v>
      </c>
      <c r="C874" s="7" t="s">
        <v>1782</v>
      </c>
      <c r="D874" s="7" t="s">
        <v>53</v>
      </c>
      <c r="E874" s="7" t="s">
        <v>35</v>
      </c>
      <c r="F874" s="8">
        <v>30032</v>
      </c>
      <c r="G874" s="7">
        <f t="shared" ca="1" si="52"/>
        <v>44.125</v>
      </c>
      <c r="H874" s="7" t="s">
        <v>36</v>
      </c>
      <c r="I874" s="7" t="s">
        <v>25</v>
      </c>
      <c r="J874" s="7" t="s">
        <v>21</v>
      </c>
      <c r="K874" s="7" t="s">
        <v>21</v>
      </c>
      <c r="L874" s="8">
        <v>45596</v>
      </c>
      <c r="M874" s="7">
        <f t="shared" ca="1" si="53"/>
        <v>1.5194444444444444</v>
      </c>
      <c r="N874" s="7">
        <v>6913</v>
      </c>
      <c r="O874" s="7" t="str">
        <f t="shared" si="54"/>
        <v>أكتوبر</v>
      </c>
      <c r="P874" s="7" t="str">
        <f t="shared" si="55"/>
        <v>راتب طبيعي</v>
      </c>
    </row>
    <row r="875" spans="1:16" x14ac:dyDescent="0.3">
      <c r="A875" s="9">
        <v>56510</v>
      </c>
      <c r="B875" s="9" t="s">
        <v>1783</v>
      </c>
      <c r="C875" s="9" t="s">
        <v>1784</v>
      </c>
      <c r="D875" s="9" t="s">
        <v>43</v>
      </c>
      <c r="E875" s="9" t="s">
        <v>35</v>
      </c>
      <c r="F875" s="10">
        <v>33676</v>
      </c>
      <c r="G875" s="7">
        <f t="shared" ca="1" si="52"/>
        <v>34.15</v>
      </c>
      <c r="H875" s="9" t="s">
        <v>18</v>
      </c>
      <c r="I875" s="9" t="s">
        <v>25</v>
      </c>
      <c r="J875" s="9" t="s">
        <v>21</v>
      </c>
      <c r="K875" s="9" t="s">
        <v>21</v>
      </c>
      <c r="L875" s="10">
        <v>45597</v>
      </c>
      <c r="M875" s="9">
        <f t="shared" ca="1" si="53"/>
        <v>1.5166666666666666</v>
      </c>
      <c r="N875" s="9">
        <v>3380</v>
      </c>
      <c r="O875" s="9" t="str">
        <f t="shared" si="54"/>
        <v>نوفمبر</v>
      </c>
      <c r="P875" s="7" t="str">
        <f t="shared" si="55"/>
        <v>راتب عالي</v>
      </c>
    </row>
    <row r="876" spans="1:16" x14ac:dyDescent="0.3">
      <c r="A876" s="7">
        <v>51108</v>
      </c>
      <c r="B876" s="7" t="s">
        <v>1785</v>
      </c>
      <c r="C876" s="7" t="s">
        <v>1786</v>
      </c>
      <c r="D876" s="7" t="s">
        <v>43</v>
      </c>
      <c r="E876" s="7" t="s">
        <v>17</v>
      </c>
      <c r="F876" s="8">
        <v>30328</v>
      </c>
      <c r="G876" s="7">
        <f t="shared" ca="1" si="52"/>
        <v>43.319444444444443</v>
      </c>
      <c r="H876" s="7" t="s">
        <v>18</v>
      </c>
      <c r="I876" s="7" t="s">
        <v>46</v>
      </c>
      <c r="J876" s="7" t="s">
        <v>27</v>
      </c>
      <c r="K876" s="7" t="s">
        <v>21</v>
      </c>
      <c r="L876" s="8">
        <v>45598</v>
      </c>
      <c r="M876" s="7">
        <f t="shared" ca="1" si="53"/>
        <v>1.5138888888888888</v>
      </c>
      <c r="N876" s="7">
        <v>14169</v>
      </c>
      <c r="O876" s="7" t="str">
        <f t="shared" si="54"/>
        <v>نوفمبر</v>
      </c>
      <c r="P876" s="7" t="str">
        <f t="shared" si="55"/>
        <v>راتب طبيعي</v>
      </c>
    </row>
    <row r="877" spans="1:16" x14ac:dyDescent="0.3">
      <c r="A877" s="9">
        <v>50841</v>
      </c>
      <c r="B877" s="9" t="s">
        <v>1787</v>
      </c>
      <c r="C877" s="9" t="s">
        <v>1788</v>
      </c>
      <c r="D877" s="9" t="s">
        <v>34</v>
      </c>
      <c r="E877" s="9" t="s">
        <v>35</v>
      </c>
      <c r="F877" s="10">
        <v>31956</v>
      </c>
      <c r="G877" s="7">
        <f t="shared" ca="1" si="52"/>
        <v>38.858333333333334</v>
      </c>
      <c r="H877" s="9" t="s">
        <v>18</v>
      </c>
      <c r="I877" s="9" t="s">
        <v>25</v>
      </c>
      <c r="J877" s="9" t="s">
        <v>21</v>
      </c>
      <c r="K877" s="9" t="s">
        <v>26</v>
      </c>
      <c r="L877" s="10">
        <v>45599</v>
      </c>
      <c r="M877" s="9">
        <f t="shared" ca="1" si="53"/>
        <v>1.5111111111111111</v>
      </c>
      <c r="N877" s="9">
        <v>6477</v>
      </c>
      <c r="O877" s="9" t="str">
        <f t="shared" si="54"/>
        <v>نوفمبر</v>
      </c>
      <c r="P877" s="7" t="str">
        <f t="shared" si="55"/>
        <v>راتب طبيعي</v>
      </c>
    </row>
    <row r="878" spans="1:16" x14ac:dyDescent="0.3">
      <c r="A878" s="7">
        <v>57628</v>
      </c>
      <c r="B878" s="7" t="s">
        <v>1789</v>
      </c>
      <c r="C878" s="7" t="s">
        <v>1790</v>
      </c>
      <c r="D878" s="7" t="s">
        <v>43</v>
      </c>
      <c r="E878" s="7" t="s">
        <v>35</v>
      </c>
      <c r="F878" s="8">
        <v>35342</v>
      </c>
      <c r="G878" s="7">
        <f t="shared" ca="1" si="52"/>
        <v>29.591666666666665</v>
      </c>
      <c r="H878" s="7" t="s">
        <v>36</v>
      </c>
      <c r="I878" s="7" t="s">
        <v>25</v>
      </c>
      <c r="J878" s="7" t="s">
        <v>21</v>
      </c>
      <c r="K878" s="7" t="s">
        <v>27</v>
      </c>
      <c r="L878" s="8">
        <v>45600</v>
      </c>
      <c r="M878" s="7">
        <f t="shared" ca="1" si="53"/>
        <v>1.5083333333333333</v>
      </c>
      <c r="N878" s="7">
        <v>6628</v>
      </c>
      <c r="O878" s="7" t="str">
        <f t="shared" si="54"/>
        <v>نوفمبر</v>
      </c>
      <c r="P878" s="7" t="str">
        <f t="shared" si="55"/>
        <v>راتب طبيعي</v>
      </c>
    </row>
    <row r="879" spans="1:16" x14ac:dyDescent="0.3">
      <c r="A879" s="9">
        <v>53925</v>
      </c>
      <c r="B879" s="9" t="s">
        <v>1791</v>
      </c>
      <c r="C879" s="9" t="s">
        <v>1792</v>
      </c>
      <c r="D879" s="9" t="s">
        <v>43</v>
      </c>
      <c r="E879" s="9" t="s">
        <v>35</v>
      </c>
      <c r="F879" s="10">
        <v>36913</v>
      </c>
      <c r="G879" s="7">
        <f t="shared" ca="1" si="52"/>
        <v>25.291666666666668</v>
      </c>
      <c r="H879" s="9" t="s">
        <v>18</v>
      </c>
      <c r="I879" s="9" t="s">
        <v>25</v>
      </c>
      <c r="J879" s="9" t="s">
        <v>21</v>
      </c>
      <c r="K879" s="9" t="s">
        <v>20</v>
      </c>
      <c r="L879" s="10">
        <v>45601</v>
      </c>
      <c r="M879" s="9">
        <f t="shared" ca="1" si="53"/>
        <v>1.5055555555555555</v>
      </c>
      <c r="N879" s="9">
        <v>3597</v>
      </c>
      <c r="O879" s="9" t="str">
        <f t="shared" si="54"/>
        <v>نوفمبر</v>
      </c>
      <c r="P879" s="7" t="str">
        <f t="shared" si="55"/>
        <v>راتب عالي</v>
      </c>
    </row>
    <row r="880" spans="1:16" x14ac:dyDescent="0.3">
      <c r="A880" s="7">
        <v>57243</v>
      </c>
      <c r="B880" s="7" t="s">
        <v>1793</v>
      </c>
      <c r="C880" s="7" t="s">
        <v>1794</v>
      </c>
      <c r="D880" s="7" t="s">
        <v>16</v>
      </c>
      <c r="E880" s="7" t="s">
        <v>17</v>
      </c>
      <c r="F880" s="8">
        <v>35286</v>
      </c>
      <c r="G880" s="7">
        <f t="shared" ca="1" si="52"/>
        <v>29.744444444444444</v>
      </c>
      <c r="H880" s="7" t="s">
        <v>18</v>
      </c>
      <c r="I880" s="7" t="s">
        <v>46</v>
      </c>
      <c r="J880" s="7" t="s">
        <v>20</v>
      </c>
      <c r="K880" s="7" t="s">
        <v>21</v>
      </c>
      <c r="L880" s="8">
        <v>45602</v>
      </c>
      <c r="M880" s="7">
        <f t="shared" ca="1" si="53"/>
        <v>1.5027777777777778</v>
      </c>
      <c r="N880" s="7">
        <v>13430</v>
      </c>
      <c r="O880" s="7" t="str">
        <f t="shared" si="54"/>
        <v>نوفمبر</v>
      </c>
      <c r="P880" s="7" t="str">
        <f t="shared" si="55"/>
        <v>راتب طبيعي</v>
      </c>
    </row>
    <row r="881" spans="1:16" x14ac:dyDescent="0.3">
      <c r="A881" s="9">
        <v>50094</v>
      </c>
      <c r="B881" s="9" t="s">
        <v>1795</v>
      </c>
      <c r="C881" s="9" t="s">
        <v>1796</v>
      </c>
      <c r="D881" s="9" t="s">
        <v>34</v>
      </c>
      <c r="E881" s="9" t="s">
        <v>17</v>
      </c>
      <c r="F881" s="10">
        <v>35923</v>
      </c>
      <c r="G881" s="7">
        <f t="shared" ca="1" si="52"/>
        <v>27.997222222222224</v>
      </c>
      <c r="H881" s="9" t="s">
        <v>18</v>
      </c>
      <c r="I881" s="9" t="s">
        <v>19</v>
      </c>
      <c r="J881" s="9" t="s">
        <v>27</v>
      </c>
      <c r="K881" s="9" t="s">
        <v>37</v>
      </c>
      <c r="L881" s="10">
        <v>45603</v>
      </c>
      <c r="M881" s="9">
        <f t="shared" ca="1" si="53"/>
        <v>1.5</v>
      </c>
      <c r="N881" s="9">
        <v>20232</v>
      </c>
      <c r="O881" s="9" t="str">
        <f t="shared" si="54"/>
        <v>نوفمبر</v>
      </c>
      <c r="P881" s="7" t="str">
        <f t="shared" si="55"/>
        <v>راتب طبيعي</v>
      </c>
    </row>
    <row r="882" spans="1:16" x14ac:dyDescent="0.3">
      <c r="A882" s="7">
        <v>52179</v>
      </c>
      <c r="B882" s="7" t="s">
        <v>1797</v>
      </c>
      <c r="C882" s="7" t="s">
        <v>1798</v>
      </c>
      <c r="D882" s="7" t="s">
        <v>53</v>
      </c>
      <c r="E882" s="7" t="s">
        <v>35</v>
      </c>
      <c r="F882" s="8">
        <v>36186</v>
      </c>
      <c r="G882" s="7">
        <f t="shared" ca="1" si="52"/>
        <v>27.280555555555555</v>
      </c>
      <c r="H882" s="7" t="s">
        <v>18</v>
      </c>
      <c r="I882" s="7" t="s">
        <v>25</v>
      </c>
      <c r="J882" s="7" t="s">
        <v>20</v>
      </c>
      <c r="K882" s="7" t="s">
        <v>37</v>
      </c>
      <c r="L882" s="8">
        <v>45604</v>
      </c>
      <c r="M882" s="7">
        <f t="shared" ca="1" si="53"/>
        <v>1.4972222222222222</v>
      </c>
      <c r="N882" s="7">
        <v>5720</v>
      </c>
      <c r="O882" s="7" t="str">
        <f t="shared" si="54"/>
        <v>نوفمبر</v>
      </c>
      <c r="P882" s="7" t="str">
        <f t="shared" si="55"/>
        <v>راتب عالي</v>
      </c>
    </row>
    <row r="883" spans="1:16" x14ac:dyDescent="0.3">
      <c r="A883" s="9">
        <v>50278</v>
      </c>
      <c r="B883" s="9" t="s">
        <v>1799</v>
      </c>
      <c r="C883" s="9" t="s">
        <v>1800</v>
      </c>
      <c r="D883" s="9" t="s">
        <v>53</v>
      </c>
      <c r="E883" s="9" t="s">
        <v>17</v>
      </c>
      <c r="F883" s="10">
        <v>35434</v>
      </c>
      <c r="G883" s="7">
        <f t="shared" ca="1" si="52"/>
        <v>29.341666666666665</v>
      </c>
      <c r="H883" s="9" t="s">
        <v>36</v>
      </c>
      <c r="I883" s="9" t="s">
        <v>25</v>
      </c>
      <c r="J883" s="9" t="s">
        <v>26</v>
      </c>
      <c r="K883" s="9" t="s">
        <v>27</v>
      </c>
      <c r="L883" s="10">
        <v>45605</v>
      </c>
      <c r="M883" s="9">
        <f t="shared" ca="1" si="53"/>
        <v>1.4944444444444445</v>
      </c>
      <c r="N883" s="9">
        <v>4800</v>
      </c>
      <c r="O883" s="9" t="str">
        <f t="shared" si="54"/>
        <v>نوفمبر</v>
      </c>
      <c r="P883" s="7" t="str">
        <f t="shared" si="55"/>
        <v>راتب عالي</v>
      </c>
    </row>
    <row r="884" spans="1:16" x14ac:dyDescent="0.3">
      <c r="A884" s="7">
        <v>54506</v>
      </c>
      <c r="B884" s="7" t="s">
        <v>1801</v>
      </c>
      <c r="C884" s="7" t="s">
        <v>1802</v>
      </c>
      <c r="D884" s="7" t="s">
        <v>95</v>
      </c>
      <c r="E884" s="7" t="s">
        <v>17</v>
      </c>
      <c r="F884" s="8">
        <v>34164</v>
      </c>
      <c r="G884" s="7">
        <f t="shared" ca="1" si="52"/>
        <v>32.81388888888889</v>
      </c>
      <c r="H884" s="7" t="s">
        <v>36</v>
      </c>
      <c r="I884" s="7" t="s">
        <v>25</v>
      </c>
      <c r="J884" s="7" t="s">
        <v>27</v>
      </c>
      <c r="K884" s="7" t="s">
        <v>37</v>
      </c>
      <c r="L884" s="8">
        <v>45606</v>
      </c>
      <c r="M884" s="7">
        <f t="shared" ca="1" si="53"/>
        <v>1.4916666666666667</v>
      </c>
      <c r="N884" s="7">
        <v>6079</v>
      </c>
      <c r="O884" s="7" t="str">
        <f t="shared" si="54"/>
        <v>نوفمبر</v>
      </c>
      <c r="P884" s="7" t="str">
        <f t="shared" si="55"/>
        <v>راتب طبيعي</v>
      </c>
    </row>
    <row r="885" spans="1:16" x14ac:dyDescent="0.3">
      <c r="A885" s="9">
        <v>54025</v>
      </c>
      <c r="B885" s="9" t="s">
        <v>1803</v>
      </c>
      <c r="C885" s="9" t="s">
        <v>1804</v>
      </c>
      <c r="D885" s="9" t="s">
        <v>16</v>
      </c>
      <c r="E885" s="9" t="s">
        <v>17</v>
      </c>
      <c r="F885" s="10">
        <v>32696</v>
      </c>
      <c r="G885" s="7">
        <f t="shared" ca="1" si="52"/>
        <v>36.833333333333336</v>
      </c>
      <c r="H885" s="9" t="s">
        <v>36</v>
      </c>
      <c r="I885" s="9" t="s">
        <v>25</v>
      </c>
      <c r="J885" s="9" t="s">
        <v>21</v>
      </c>
      <c r="K885" s="9" t="s">
        <v>27</v>
      </c>
      <c r="L885" s="10">
        <v>45607</v>
      </c>
      <c r="M885" s="9">
        <f t="shared" ca="1" si="53"/>
        <v>1.4888888888888889</v>
      </c>
      <c r="N885" s="9">
        <v>5338</v>
      </c>
      <c r="O885" s="9" t="str">
        <f t="shared" si="54"/>
        <v>نوفمبر</v>
      </c>
      <c r="P885" s="7" t="str">
        <f t="shared" si="55"/>
        <v>راتب عالي</v>
      </c>
    </row>
    <row r="886" spans="1:16" x14ac:dyDescent="0.3">
      <c r="A886" s="7">
        <v>54139</v>
      </c>
      <c r="B886" s="7" t="s">
        <v>1805</v>
      </c>
      <c r="C886" s="7" t="s">
        <v>1806</v>
      </c>
      <c r="D886" s="7" t="s">
        <v>34</v>
      </c>
      <c r="E886" s="7" t="s">
        <v>17</v>
      </c>
      <c r="F886" s="8">
        <v>30934</v>
      </c>
      <c r="G886" s="7">
        <f t="shared" ca="1" si="52"/>
        <v>41.661111111111111</v>
      </c>
      <c r="H886" s="7" t="s">
        <v>18</v>
      </c>
      <c r="I886" s="7" t="s">
        <v>19</v>
      </c>
      <c r="J886" s="7" t="s">
        <v>27</v>
      </c>
      <c r="K886" s="7" t="s">
        <v>37</v>
      </c>
      <c r="L886" s="8">
        <v>45608</v>
      </c>
      <c r="M886" s="7">
        <f t="shared" ca="1" si="53"/>
        <v>1.4861111111111112</v>
      </c>
      <c r="N886" s="7">
        <v>19307</v>
      </c>
      <c r="O886" s="7" t="str">
        <f t="shared" si="54"/>
        <v>نوفمبر</v>
      </c>
      <c r="P886" s="7" t="str">
        <f t="shared" si="55"/>
        <v>راتب طبيعي</v>
      </c>
    </row>
    <row r="887" spans="1:16" x14ac:dyDescent="0.3">
      <c r="A887" s="9">
        <v>52094</v>
      </c>
      <c r="B887" s="9" t="s">
        <v>1807</v>
      </c>
      <c r="C887" s="9" t="s">
        <v>1808</v>
      </c>
      <c r="D887" s="9" t="s">
        <v>66</v>
      </c>
      <c r="E887" s="9" t="s">
        <v>35</v>
      </c>
      <c r="F887" s="10">
        <v>34157</v>
      </c>
      <c r="G887" s="7">
        <f t="shared" ca="1" si="52"/>
        <v>32.833333333333336</v>
      </c>
      <c r="H887" s="9" t="s">
        <v>18</v>
      </c>
      <c r="I887" s="9" t="s">
        <v>25</v>
      </c>
      <c r="J887" s="9" t="s">
        <v>26</v>
      </c>
      <c r="K887" s="9" t="s">
        <v>31</v>
      </c>
      <c r="L887" s="10">
        <v>45609</v>
      </c>
      <c r="M887" s="9">
        <f t="shared" ca="1" si="53"/>
        <v>1.4833333333333334</v>
      </c>
      <c r="N887" s="9">
        <v>3757</v>
      </c>
      <c r="O887" s="9" t="str">
        <f t="shared" si="54"/>
        <v>نوفمبر</v>
      </c>
      <c r="P887" s="7" t="str">
        <f t="shared" si="55"/>
        <v>راتب عالي</v>
      </c>
    </row>
    <row r="888" spans="1:16" x14ac:dyDescent="0.3">
      <c r="A888" s="7">
        <v>53774</v>
      </c>
      <c r="B888" s="7" t="s">
        <v>1809</v>
      </c>
      <c r="C888" s="7" t="s">
        <v>1810</v>
      </c>
      <c r="D888" s="7" t="s">
        <v>146</v>
      </c>
      <c r="E888" s="7" t="s">
        <v>17</v>
      </c>
      <c r="F888" s="8">
        <v>30468</v>
      </c>
      <c r="G888" s="7">
        <f t="shared" ca="1" si="52"/>
        <v>42.93333333333333</v>
      </c>
      <c r="H888" s="7" t="s">
        <v>18</v>
      </c>
      <c r="I888" s="7" t="s">
        <v>25</v>
      </c>
      <c r="J888" s="7" t="s">
        <v>26</v>
      </c>
      <c r="K888" s="7" t="s">
        <v>20</v>
      </c>
      <c r="L888" s="8">
        <v>45610</v>
      </c>
      <c r="M888" s="7">
        <f t="shared" ca="1" si="53"/>
        <v>1.4805555555555556</v>
      </c>
      <c r="N888" s="7">
        <v>4111</v>
      </c>
      <c r="O888" s="7" t="str">
        <f t="shared" si="54"/>
        <v>نوفمبر</v>
      </c>
      <c r="P888" s="7" t="str">
        <f t="shared" si="55"/>
        <v>راتب عالي</v>
      </c>
    </row>
    <row r="889" spans="1:16" x14ac:dyDescent="0.3">
      <c r="A889" s="9">
        <v>57712</v>
      </c>
      <c r="B889" s="9" t="s">
        <v>1811</v>
      </c>
      <c r="C889" s="9" t="s">
        <v>1812</v>
      </c>
      <c r="D889" s="9" t="s">
        <v>40</v>
      </c>
      <c r="E889" s="9" t="s">
        <v>17</v>
      </c>
      <c r="F889" s="10">
        <v>36168</v>
      </c>
      <c r="G889" s="7">
        <f t="shared" ca="1" si="52"/>
        <v>27.330555555555556</v>
      </c>
      <c r="H889" s="9" t="s">
        <v>18</v>
      </c>
      <c r="I889" s="9" t="s">
        <v>19</v>
      </c>
      <c r="J889" s="9" t="s">
        <v>26</v>
      </c>
      <c r="K889" s="9" t="s">
        <v>21</v>
      </c>
      <c r="L889" s="10">
        <v>45611</v>
      </c>
      <c r="M889" s="9">
        <f t="shared" ca="1" si="53"/>
        <v>1.4777777777777779</v>
      </c>
      <c r="N889" s="9">
        <v>22532</v>
      </c>
      <c r="O889" s="9" t="str">
        <f t="shared" si="54"/>
        <v>نوفمبر</v>
      </c>
      <c r="P889" s="7" t="str">
        <f t="shared" si="55"/>
        <v>راتب طبيعي</v>
      </c>
    </row>
    <row r="890" spans="1:16" x14ac:dyDescent="0.3">
      <c r="A890" s="7">
        <v>58407</v>
      </c>
      <c r="B890" s="7" t="s">
        <v>1813</v>
      </c>
      <c r="C890" s="7" t="s">
        <v>1814</v>
      </c>
      <c r="D890" s="7" t="s">
        <v>40</v>
      </c>
      <c r="E890" s="7" t="s">
        <v>17</v>
      </c>
      <c r="F890" s="8">
        <v>35590</v>
      </c>
      <c r="G890" s="7">
        <f t="shared" ca="1" si="52"/>
        <v>28.911111111111111</v>
      </c>
      <c r="H890" s="7" t="s">
        <v>18</v>
      </c>
      <c r="I890" s="7" t="s">
        <v>25</v>
      </c>
      <c r="J890" s="7" t="s">
        <v>31</v>
      </c>
      <c r="K890" s="7" t="s">
        <v>37</v>
      </c>
      <c r="L890" s="8">
        <v>45612</v>
      </c>
      <c r="M890" s="7">
        <f t="shared" ca="1" si="53"/>
        <v>1.4750000000000001</v>
      </c>
      <c r="N890" s="7">
        <v>3635</v>
      </c>
      <c r="O890" s="7" t="str">
        <f t="shared" si="54"/>
        <v>نوفمبر</v>
      </c>
      <c r="P890" s="7" t="str">
        <f t="shared" si="55"/>
        <v>راتب عالي</v>
      </c>
    </row>
    <row r="891" spans="1:16" x14ac:dyDescent="0.3">
      <c r="A891" s="9">
        <v>51921</v>
      </c>
      <c r="B891" s="9" t="s">
        <v>1815</v>
      </c>
      <c r="C891" s="9" t="s">
        <v>1816</v>
      </c>
      <c r="D891" s="9" t="s">
        <v>95</v>
      </c>
      <c r="E891" s="9" t="s">
        <v>35</v>
      </c>
      <c r="F891" s="10">
        <v>31991</v>
      </c>
      <c r="G891" s="7">
        <f t="shared" ca="1" si="52"/>
        <v>38.763888888888886</v>
      </c>
      <c r="H891" s="9" t="s">
        <v>36</v>
      </c>
      <c r="I891" s="9" t="s">
        <v>25</v>
      </c>
      <c r="J891" s="9" t="s">
        <v>27</v>
      </c>
      <c r="K891" s="9" t="s">
        <v>21</v>
      </c>
      <c r="L891" s="10">
        <v>45613</v>
      </c>
      <c r="M891" s="9">
        <f t="shared" ca="1" si="53"/>
        <v>1.4722222222222223</v>
      </c>
      <c r="N891" s="9">
        <v>4381</v>
      </c>
      <c r="O891" s="9" t="str">
        <f t="shared" si="54"/>
        <v>نوفمبر</v>
      </c>
      <c r="P891" s="7" t="str">
        <f t="shared" si="55"/>
        <v>راتب عالي</v>
      </c>
    </row>
    <row r="892" spans="1:16" x14ac:dyDescent="0.3">
      <c r="A892" s="7">
        <v>55324</v>
      </c>
      <c r="B892" s="7" t="s">
        <v>1817</v>
      </c>
      <c r="C892" s="7" t="s">
        <v>1818</v>
      </c>
      <c r="D892" s="7" t="s">
        <v>43</v>
      </c>
      <c r="E892" s="7" t="s">
        <v>17</v>
      </c>
      <c r="F892" s="8">
        <v>31858</v>
      </c>
      <c r="G892" s="7">
        <f t="shared" ca="1" si="52"/>
        <v>39.125</v>
      </c>
      <c r="H892" s="7" t="s">
        <v>18</v>
      </c>
      <c r="I892" s="7" t="s">
        <v>25</v>
      </c>
      <c r="J892" s="7" t="s">
        <v>21</v>
      </c>
      <c r="K892" s="7" t="s">
        <v>27</v>
      </c>
      <c r="L892" s="8">
        <v>45614</v>
      </c>
      <c r="M892" s="7">
        <f t="shared" ca="1" si="53"/>
        <v>1.4694444444444446</v>
      </c>
      <c r="N892" s="7">
        <v>3207</v>
      </c>
      <c r="O892" s="7" t="str">
        <f t="shared" si="54"/>
        <v>نوفمبر</v>
      </c>
      <c r="P892" s="7" t="str">
        <f t="shared" si="55"/>
        <v>راتب عالي</v>
      </c>
    </row>
    <row r="893" spans="1:16" x14ac:dyDescent="0.3">
      <c r="A893" s="9">
        <v>58491</v>
      </c>
      <c r="B893" s="9" t="s">
        <v>1819</v>
      </c>
      <c r="C893" s="9" t="s">
        <v>1820</v>
      </c>
      <c r="D893" s="9" t="s">
        <v>66</v>
      </c>
      <c r="E893" s="9" t="s">
        <v>35</v>
      </c>
      <c r="F893" s="10">
        <v>36435</v>
      </c>
      <c r="G893" s="7">
        <f t="shared" ca="1" si="52"/>
        <v>26.597222222222221</v>
      </c>
      <c r="H893" s="9" t="s">
        <v>18</v>
      </c>
      <c r="I893" s="9" t="s">
        <v>19</v>
      </c>
      <c r="J893" s="9" t="s">
        <v>20</v>
      </c>
      <c r="K893" s="9" t="s">
        <v>37</v>
      </c>
      <c r="L893" s="10">
        <v>45615</v>
      </c>
      <c r="M893" s="9">
        <f t="shared" ca="1" si="53"/>
        <v>1.4666666666666666</v>
      </c>
      <c r="N893" s="9">
        <v>20815</v>
      </c>
      <c r="O893" s="9" t="str">
        <f t="shared" si="54"/>
        <v>نوفمبر</v>
      </c>
      <c r="P893" s="7" t="str">
        <f t="shared" si="55"/>
        <v>راتب طبيعي</v>
      </c>
    </row>
    <row r="894" spans="1:16" x14ac:dyDescent="0.3">
      <c r="A894" s="7">
        <v>54036</v>
      </c>
      <c r="B894" s="7" t="s">
        <v>1821</v>
      </c>
      <c r="C894" s="7" t="s">
        <v>1822</v>
      </c>
      <c r="D894" s="7" t="s">
        <v>43</v>
      </c>
      <c r="E894" s="7" t="s">
        <v>17</v>
      </c>
      <c r="F894" s="8">
        <v>34297</v>
      </c>
      <c r="G894" s="7">
        <f t="shared" ca="1" si="52"/>
        <v>32.452777777777776</v>
      </c>
      <c r="H894" s="7" t="s">
        <v>36</v>
      </c>
      <c r="I894" s="7" t="s">
        <v>25</v>
      </c>
      <c r="J894" s="7" t="s">
        <v>20</v>
      </c>
      <c r="K894" s="7" t="s">
        <v>27</v>
      </c>
      <c r="L894" s="8">
        <v>45616</v>
      </c>
      <c r="M894" s="7">
        <f t="shared" ca="1" si="53"/>
        <v>1.4638888888888888</v>
      </c>
      <c r="N894" s="7">
        <v>6458</v>
      </c>
      <c r="O894" s="7" t="str">
        <f t="shared" si="54"/>
        <v>نوفمبر</v>
      </c>
      <c r="P894" s="7" t="str">
        <f t="shared" si="55"/>
        <v>راتب طبيعي</v>
      </c>
    </row>
    <row r="895" spans="1:16" x14ac:dyDescent="0.3">
      <c r="A895" s="9">
        <v>52783</v>
      </c>
      <c r="B895" s="9" t="s">
        <v>1823</v>
      </c>
      <c r="C895" s="9" t="s">
        <v>1824</v>
      </c>
      <c r="D895" s="9" t="s">
        <v>40</v>
      </c>
      <c r="E895" s="9" t="s">
        <v>17</v>
      </c>
      <c r="F895" s="10">
        <v>36987</v>
      </c>
      <c r="G895" s="7">
        <f t="shared" ca="1" si="52"/>
        <v>25.086111111111112</v>
      </c>
      <c r="H895" s="9" t="s">
        <v>18</v>
      </c>
      <c r="I895" s="9" t="s">
        <v>46</v>
      </c>
      <c r="J895" s="9" t="s">
        <v>31</v>
      </c>
      <c r="K895" s="9" t="s">
        <v>27</v>
      </c>
      <c r="L895" s="10">
        <v>45617</v>
      </c>
      <c r="M895" s="9">
        <f t="shared" ca="1" si="53"/>
        <v>1.461111111111111</v>
      </c>
      <c r="N895" s="9">
        <v>11281</v>
      </c>
      <c r="O895" s="9" t="str">
        <f t="shared" si="54"/>
        <v>نوفمبر</v>
      </c>
      <c r="P895" s="7" t="str">
        <f t="shared" si="55"/>
        <v>راتب طبيعي</v>
      </c>
    </row>
    <row r="896" spans="1:16" x14ac:dyDescent="0.3">
      <c r="A896" s="7">
        <v>53521</v>
      </c>
      <c r="B896" s="7" t="s">
        <v>1825</v>
      </c>
      <c r="C896" s="7" t="s">
        <v>1826</v>
      </c>
      <c r="D896" s="7" t="s">
        <v>34</v>
      </c>
      <c r="E896" s="7" t="s">
        <v>17</v>
      </c>
      <c r="F896" s="8">
        <v>35261</v>
      </c>
      <c r="G896" s="7">
        <f t="shared" ca="1" si="52"/>
        <v>29.81111111111111</v>
      </c>
      <c r="H896" s="7" t="s">
        <v>36</v>
      </c>
      <c r="I896" s="7" t="s">
        <v>25</v>
      </c>
      <c r="J896" s="7" t="s">
        <v>21</v>
      </c>
      <c r="K896" s="7" t="s">
        <v>31</v>
      </c>
      <c r="L896" s="8">
        <v>45618</v>
      </c>
      <c r="M896" s="7">
        <f t="shared" ca="1" si="53"/>
        <v>1.4583333333333333</v>
      </c>
      <c r="N896" s="7">
        <v>4633</v>
      </c>
      <c r="O896" s="7" t="str">
        <f t="shared" si="54"/>
        <v>نوفمبر</v>
      </c>
      <c r="P896" s="7" t="str">
        <f t="shared" si="55"/>
        <v>راتب عالي</v>
      </c>
    </row>
    <row r="897" spans="1:16" x14ac:dyDescent="0.3">
      <c r="A897" s="9">
        <v>59576</v>
      </c>
      <c r="B897" s="9" t="s">
        <v>1827</v>
      </c>
      <c r="C897" s="9" t="s">
        <v>1828</v>
      </c>
      <c r="D897" s="9" t="s">
        <v>53</v>
      </c>
      <c r="E897" s="9" t="s">
        <v>35</v>
      </c>
      <c r="F897" s="10">
        <v>30760</v>
      </c>
      <c r="G897" s="7">
        <f t="shared" ca="1" si="52"/>
        <v>42.133333333333333</v>
      </c>
      <c r="H897" s="9" t="s">
        <v>36</v>
      </c>
      <c r="I897" s="9" t="s">
        <v>25</v>
      </c>
      <c r="J897" s="9" t="s">
        <v>21</v>
      </c>
      <c r="K897" s="9" t="s">
        <v>27</v>
      </c>
      <c r="L897" s="10">
        <v>45619</v>
      </c>
      <c r="M897" s="9">
        <f t="shared" ca="1" si="53"/>
        <v>1.4555555555555555</v>
      </c>
      <c r="N897" s="9">
        <v>5425</v>
      </c>
      <c r="O897" s="9" t="str">
        <f t="shared" si="54"/>
        <v>نوفمبر</v>
      </c>
      <c r="P897" s="7" t="str">
        <f t="shared" si="55"/>
        <v>راتب عالي</v>
      </c>
    </row>
    <row r="898" spans="1:16" x14ac:dyDescent="0.3">
      <c r="A898" s="7">
        <v>55030</v>
      </c>
      <c r="B898" s="7" t="s">
        <v>1829</v>
      </c>
      <c r="C898" s="7" t="s">
        <v>1830</v>
      </c>
      <c r="D898" s="7" t="s">
        <v>43</v>
      </c>
      <c r="E898" s="7" t="s">
        <v>17</v>
      </c>
      <c r="F898" s="8">
        <v>30666</v>
      </c>
      <c r="G898" s="7">
        <f t="shared" ca="1" si="52"/>
        <v>42.391666666666666</v>
      </c>
      <c r="H898" s="7" t="s">
        <v>18</v>
      </c>
      <c r="I898" s="7" t="s">
        <v>46</v>
      </c>
      <c r="J898" s="7" t="s">
        <v>20</v>
      </c>
      <c r="K898" s="7" t="s">
        <v>21</v>
      </c>
      <c r="L898" s="8">
        <v>45620</v>
      </c>
      <c r="M898" s="7">
        <f t="shared" ca="1" si="53"/>
        <v>1.4527777777777777</v>
      </c>
      <c r="N898" s="7">
        <v>11489</v>
      </c>
      <c r="O898" s="7" t="str">
        <f t="shared" si="54"/>
        <v>نوفمبر</v>
      </c>
      <c r="P898" s="7" t="str">
        <f t="shared" si="55"/>
        <v>راتب طبيعي</v>
      </c>
    </row>
    <row r="899" spans="1:16" x14ac:dyDescent="0.3">
      <c r="A899" s="9">
        <v>51298</v>
      </c>
      <c r="B899" s="9" t="s">
        <v>1831</v>
      </c>
      <c r="C899" s="9" t="s">
        <v>1832</v>
      </c>
      <c r="D899" s="9" t="s">
        <v>146</v>
      </c>
      <c r="E899" s="9" t="s">
        <v>17</v>
      </c>
      <c r="F899" s="10">
        <v>36389</v>
      </c>
      <c r="G899" s="7">
        <f t="shared" ref="G899:G962" ca="1" si="56">YEARFRAC(F899,TODAY())</f>
        <v>26.722222222222221</v>
      </c>
      <c r="H899" s="9" t="s">
        <v>18</v>
      </c>
      <c r="I899" s="9" t="s">
        <v>19</v>
      </c>
      <c r="J899" s="9" t="s">
        <v>26</v>
      </c>
      <c r="K899" s="9" t="s">
        <v>26</v>
      </c>
      <c r="L899" s="10">
        <v>45621</v>
      </c>
      <c r="M899" s="9">
        <f t="shared" ref="M899:M962" ca="1" si="57">YEARFRAC(L899,TODAY())</f>
        <v>1.45</v>
      </c>
      <c r="N899" s="9">
        <v>26244</v>
      </c>
      <c r="O899" s="9" t="str">
        <f t="shared" ref="O899:O962" si="58">TEXT(L899,"mmm")</f>
        <v>نوفمبر</v>
      </c>
      <c r="P899" s="7" t="str">
        <f t="shared" ref="P899:P962" si="59">IF(N899&gt;=S$10,"راتب طبيعي","راتب عالي")</f>
        <v>راتب طبيعي</v>
      </c>
    </row>
    <row r="900" spans="1:16" x14ac:dyDescent="0.3">
      <c r="A900" s="7">
        <v>52296</v>
      </c>
      <c r="B900" s="7" t="s">
        <v>1833</v>
      </c>
      <c r="C900" s="7" t="s">
        <v>1834</v>
      </c>
      <c r="D900" s="7" t="s">
        <v>40</v>
      </c>
      <c r="E900" s="7" t="s">
        <v>17</v>
      </c>
      <c r="F900" s="8">
        <v>35486</v>
      </c>
      <c r="G900" s="7">
        <f t="shared" ca="1" si="56"/>
        <v>29.2</v>
      </c>
      <c r="H900" s="7" t="s">
        <v>18</v>
      </c>
      <c r="I900" s="7" t="s">
        <v>25</v>
      </c>
      <c r="J900" s="7" t="s">
        <v>21</v>
      </c>
      <c r="K900" s="7" t="s">
        <v>31</v>
      </c>
      <c r="L900" s="8">
        <v>45622</v>
      </c>
      <c r="M900" s="7">
        <f t="shared" ca="1" si="57"/>
        <v>1.4472222222222222</v>
      </c>
      <c r="N900" s="7">
        <v>6902</v>
      </c>
      <c r="O900" s="7" t="str">
        <f t="shared" si="58"/>
        <v>نوفمبر</v>
      </c>
      <c r="P900" s="7" t="str">
        <f t="shared" si="59"/>
        <v>راتب طبيعي</v>
      </c>
    </row>
    <row r="901" spans="1:16" x14ac:dyDescent="0.3">
      <c r="A901" s="9">
        <v>54605</v>
      </c>
      <c r="B901" s="9" t="s">
        <v>1835</v>
      </c>
      <c r="C901" s="9" t="s">
        <v>1836</v>
      </c>
      <c r="D901" s="9" t="s">
        <v>30</v>
      </c>
      <c r="E901" s="9" t="s">
        <v>17</v>
      </c>
      <c r="F901" s="10">
        <v>33931</v>
      </c>
      <c r="G901" s="7">
        <f t="shared" ca="1" si="56"/>
        <v>33.455555555555556</v>
      </c>
      <c r="H901" s="9" t="s">
        <v>18</v>
      </c>
      <c r="I901" s="9" t="s">
        <v>25</v>
      </c>
      <c r="J901" s="9" t="s">
        <v>31</v>
      </c>
      <c r="K901" s="9" t="s">
        <v>37</v>
      </c>
      <c r="L901" s="10">
        <v>45623</v>
      </c>
      <c r="M901" s="9">
        <f t="shared" ca="1" si="57"/>
        <v>1.4444444444444444</v>
      </c>
      <c r="N901" s="9">
        <v>5441</v>
      </c>
      <c r="O901" s="9" t="str">
        <f t="shared" si="58"/>
        <v>نوفمبر</v>
      </c>
      <c r="P901" s="7" t="str">
        <f t="shared" si="59"/>
        <v>راتب عالي</v>
      </c>
    </row>
    <row r="902" spans="1:16" x14ac:dyDescent="0.3">
      <c r="A902" s="7">
        <v>53694</v>
      </c>
      <c r="B902" s="7" t="s">
        <v>1837</v>
      </c>
      <c r="C902" s="7" t="s">
        <v>1838</v>
      </c>
      <c r="D902" s="7" t="s">
        <v>30</v>
      </c>
      <c r="E902" s="7" t="s">
        <v>17</v>
      </c>
      <c r="F902" s="8">
        <v>36893</v>
      </c>
      <c r="G902" s="7">
        <f t="shared" ca="1" si="56"/>
        <v>25.347222222222221</v>
      </c>
      <c r="H902" s="7" t="s">
        <v>36</v>
      </c>
      <c r="I902" s="7" t="s">
        <v>25</v>
      </c>
      <c r="J902" s="7" t="s">
        <v>27</v>
      </c>
      <c r="K902" s="7" t="s">
        <v>20</v>
      </c>
      <c r="L902" s="8">
        <v>45624</v>
      </c>
      <c r="M902" s="7">
        <f t="shared" ca="1" si="57"/>
        <v>1.4416666666666667</v>
      </c>
      <c r="N902" s="7">
        <v>6669</v>
      </c>
      <c r="O902" s="7" t="str">
        <f t="shared" si="58"/>
        <v>نوفمبر</v>
      </c>
      <c r="P902" s="7" t="str">
        <f t="shared" si="59"/>
        <v>راتب طبيعي</v>
      </c>
    </row>
    <row r="903" spans="1:16" x14ac:dyDescent="0.3">
      <c r="A903" s="9">
        <v>57060</v>
      </c>
      <c r="B903" s="9" t="s">
        <v>1839</v>
      </c>
      <c r="C903" s="9" t="s">
        <v>1840</v>
      </c>
      <c r="D903" s="9" t="s">
        <v>43</v>
      </c>
      <c r="E903" s="9" t="s">
        <v>35</v>
      </c>
      <c r="F903" s="10">
        <v>36071</v>
      </c>
      <c r="G903" s="7">
        <f t="shared" ca="1" si="56"/>
        <v>27.594444444444445</v>
      </c>
      <c r="H903" s="9" t="s">
        <v>18</v>
      </c>
      <c r="I903" s="9" t="s">
        <v>46</v>
      </c>
      <c r="J903" s="9" t="s">
        <v>26</v>
      </c>
      <c r="K903" s="9" t="s">
        <v>31</v>
      </c>
      <c r="L903" s="10">
        <v>45625</v>
      </c>
      <c r="M903" s="9">
        <f t="shared" ca="1" si="57"/>
        <v>1.4388888888888889</v>
      </c>
      <c r="N903" s="9">
        <v>10986</v>
      </c>
      <c r="O903" s="9" t="str">
        <f t="shared" si="58"/>
        <v>نوفمبر</v>
      </c>
      <c r="P903" s="7" t="str">
        <f t="shared" si="59"/>
        <v>راتب طبيعي</v>
      </c>
    </row>
    <row r="904" spans="1:16" x14ac:dyDescent="0.3">
      <c r="A904" s="7">
        <v>56518</v>
      </c>
      <c r="B904" s="7" t="s">
        <v>1841</v>
      </c>
      <c r="C904" s="7" t="s">
        <v>1842</v>
      </c>
      <c r="D904" s="7" t="s">
        <v>34</v>
      </c>
      <c r="E904" s="7" t="s">
        <v>35</v>
      </c>
      <c r="F904" s="8">
        <v>36339</v>
      </c>
      <c r="G904" s="7">
        <f t="shared" ca="1" si="56"/>
        <v>26.858333333333334</v>
      </c>
      <c r="H904" s="7" t="s">
        <v>18</v>
      </c>
      <c r="I904" s="7" t="s">
        <v>25</v>
      </c>
      <c r="J904" s="7" t="s">
        <v>26</v>
      </c>
      <c r="K904" s="7" t="s">
        <v>20</v>
      </c>
      <c r="L904" s="8">
        <v>45626</v>
      </c>
      <c r="M904" s="7">
        <f t="shared" ca="1" si="57"/>
        <v>1.4361111111111111</v>
      </c>
      <c r="N904" s="7">
        <v>4303</v>
      </c>
      <c r="O904" s="7" t="str">
        <f t="shared" si="58"/>
        <v>نوفمبر</v>
      </c>
      <c r="P904" s="7" t="str">
        <f t="shared" si="59"/>
        <v>راتب عالي</v>
      </c>
    </row>
    <row r="905" spans="1:16" x14ac:dyDescent="0.3">
      <c r="A905" s="9">
        <v>59124</v>
      </c>
      <c r="B905" s="9" t="s">
        <v>1843</v>
      </c>
      <c r="C905" s="9" t="s">
        <v>1844</v>
      </c>
      <c r="D905" s="9" t="s">
        <v>146</v>
      </c>
      <c r="E905" s="9" t="s">
        <v>35</v>
      </c>
      <c r="F905" s="10">
        <v>32722</v>
      </c>
      <c r="G905" s="7">
        <f t="shared" ca="1" si="56"/>
        <v>36.763888888888886</v>
      </c>
      <c r="H905" s="9" t="s">
        <v>36</v>
      </c>
      <c r="I905" s="9" t="s">
        <v>25</v>
      </c>
      <c r="J905" s="9" t="s">
        <v>31</v>
      </c>
      <c r="K905" s="9" t="s">
        <v>37</v>
      </c>
      <c r="L905" s="10">
        <v>45627</v>
      </c>
      <c r="M905" s="9">
        <f t="shared" ca="1" si="57"/>
        <v>1.4333333333333333</v>
      </c>
      <c r="N905" s="9">
        <v>3038</v>
      </c>
      <c r="O905" s="9" t="str">
        <f t="shared" si="58"/>
        <v>ديسمبر</v>
      </c>
      <c r="P905" s="7" t="str">
        <f t="shared" si="59"/>
        <v>راتب عالي</v>
      </c>
    </row>
    <row r="906" spans="1:16" x14ac:dyDescent="0.3">
      <c r="A906" s="7">
        <v>55272</v>
      </c>
      <c r="B906" s="7" t="s">
        <v>1845</v>
      </c>
      <c r="C906" s="7" t="s">
        <v>1846</v>
      </c>
      <c r="D906" s="7" t="s">
        <v>40</v>
      </c>
      <c r="E906" s="7" t="s">
        <v>17</v>
      </c>
      <c r="F906" s="8">
        <v>30151</v>
      </c>
      <c r="G906" s="7">
        <f t="shared" ca="1" si="56"/>
        <v>43.8</v>
      </c>
      <c r="H906" s="7" t="s">
        <v>18</v>
      </c>
      <c r="I906" s="7" t="s">
        <v>46</v>
      </c>
      <c r="J906" s="7" t="s">
        <v>20</v>
      </c>
      <c r="K906" s="7" t="s">
        <v>20</v>
      </c>
      <c r="L906" s="8">
        <v>45628</v>
      </c>
      <c r="M906" s="7">
        <f t="shared" ca="1" si="57"/>
        <v>1.4305555555555556</v>
      </c>
      <c r="N906" s="7">
        <v>10432</v>
      </c>
      <c r="O906" s="7" t="str">
        <f t="shared" si="58"/>
        <v>ديسمبر</v>
      </c>
      <c r="P906" s="7" t="str">
        <f t="shared" si="59"/>
        <v>راتب طبيعي</v>
      </c>
    </row>
    <row r="907" spans="1:16" x14ac:dyDescent="0.3">
      <c r="A907" s="9">
        <v>58821</v>
      </c>
      <c r="B907" s="9" t="s">
        <v>1847</v>
      </c>
      <c r="C907" s="9" t="s">
        <v>1848</v>
      </c>
      <c r="D907" s="9" t="s">
        <v>146</v>
      </c>
      <c r="E907" s="9" t="s">
        <v>17</v>
      </c>
      <c r="F907" s="10">
        <v>34749</v>
      </c>
      <c r="G907" s="7">
        <f t="shared" ca="1" si="56"/>
        <v>31.216666666666665</v>
      </c>
      <c r="H907" s="9" t="s">
        <v>36</v>
      </c>
      <c r="I907" s="9" t="s">
        <v>46</v>
      </c>
      <c r="J907" s="9" t="s">
        <v>31</v>
      </c>
      <c r="K907" s="9" t="s">
        <v>27</v>
      </c>
      <c r="L907" s="10">
        <v>45629</v>
      </c>
      <c r="M907" s="9">
        <f t="shared" ca="1" si="57"/>
        <v>1.4277777777777778</v>
      </c>
      <c r="N907" s="9">
        <v>14492</v>
      </c>
      <c r="O907" s="9" t="str">
        <f t="shared" si="58"/>
        <v>ديسمبر</v>
      </c>
      <c r="P907" s="7" t="str">
        <f t="shared" si="59"/>
        <v>راتب طبيعي</v>
      </c>
    </row>
    <row r="908" spans="1:16" x14ac:dyDescent="0.3">
      <c r="A908" s="7">
        <v>51413</v>
      </c>
      <c r="B908" s="7" t="s">
        <v>1849</v>
      </c>
      <c r="C908" s="7" t="s">
        <v>1850</v>
      </c>
      <c r="D908" s="7" t="s">
        <v>24</v>
      </c>
      <c r="E908" s="7" t="s">
        <v>17</v>
      </c>
      <c r="F908" s="8">
        <v>35658</v>
      </c>
      <c r="G908" s="7">
        <f t="shared" ca="1" si="56"/>
        <v>28.725000000000001</v>
      </c>
      <c r="H908" s="7" t="s">
        <v>18</v>
      </c>
      <c r="I908" s="7" t="s">
        <v>19</v>
      </c>
      <c r="J908" s="7" t="s">
        <v>27</v>
      </c>
      <c r="K908" s="7" t="s">
        <v>21</v>
      </c>
      <c r="L908" s="8">
        <v>45630</v>
      </c>
      <c r="M908" s="7">
        <f t="shared" ca="1" si="57"/>
        <v>1.425</v>
      </c>
      <c r="N908" s="7">
        <v>29166</v>
      </c>
      <c r="O908" s="7" t="str">
        <f t="shared" si="58"/>
        <v>ديسمبر</v>
      </c>
      <c r="P908" s="7" t="str">
        <f t="shared" si="59"/>
        <v>راتب طبيعي</v>
      </c>
    </row>
    <row r="909" spans="1:16" x14ac:dyDescent="0.3">
      <c r="A909" s="9">
        <v>57355</v>
      </c>
      <c r="B909" s="9" t="s">
        <v>1851</v>
      </c>
      <c r="C909" s="9" t="s">
        <v>1852</v>
      </c>
      <c r="D909" s="9" t="s">
        <v>43</v>
      </c>
      <c r="E909" s="9" t="s">
        <v>35</v>
      </c>
      <c r="F909" s="10">
        <v>33918</v>
      </c>
      <c r="G909" s="7">
        <f t="shared" ca="1" si="56"/>
        <v>33.491666666666667</v>
      </c>
      <c r="H909" s="9" t="s">
        <v>18</v>
      </c>
      <c r="I909" s="9" t="s">
        <v>25</v>
      </c>
      <c r="J909" s="9" t="s">
        <v>27</v>
      </c>
      <c r="K909" s="9" t="s">
        <v>31</v>
      </c>
      <c r="L909" s="10">
        <v>45631</v>
      </c>
      <c r="M909" s="9">
        <f t="shared" ca="1" si="57"/>
        <v>1.4222222222222223</v>
      </c>
      <c r="N909" s="9">
        <v>4091</v>
      </c>
      <c r="O909" s="9" t="str">
        <f t="shared" si="58"/>
        <v>ديسمبر</v>
      </c>
      <c r="P909" s="7" t="str">
        <f t="shared" si="59"/>
        <v>راتب عالي</v>
      </c>
    </row>
    <row r="910" spans="1:16" x14ac:dyDescent="0.3">
      <c r="A910" s="7">
        <v>52064</v>
      </c>
      <c r="B910" s="7" t="s">
        <v>1853</v>
      </c>
      <c r="C910" s="7" t="s">
        <v>1854</v>
      </c>
      <c r="D910" s="7" t="s">
        <v>146</v>
      </c>
      <c r="E910" s="7" t="s">
        <v>17</v>
      </c>
      <c r="F910" s="8">
        <v>32403</v>
      </c>
      <c r="G910" s="7">
        <f t="shared" ca="1" si="56"/>
        <v>37.638888888888886</v>
      </c>
      <c r="H910" s="7" t="s">
        <v>36</v>
      </c>
      <c r="I910" s="7" t="s">
        <v>25</v>
      </c>
      <c r="J910" s="7" t="s">
        <v>20</v>
      </c>
      <c r="K910" s="7" t="s">
        <v>37</v>
      </c>
      <c r="L910" s="8">
        <v>45632</v>
      </c>
      <c r="M910" s="7">
        <f t="shared" ca="1" si="57"/>
        <v>1.4194444444444445</v>
      </c>
      <c r="N910" s="7">
        <v>6763</v>
      </c>
      <c r="O910" s="7" t="str">
        <f t="shared" si="58"/>
        <v>ديسمبر</v>
      </c>
      <c r="P910" s="7" t="str">
        <f t="shared" si="59"/>
        <v>راتب طبيعي</v>
      </c>
    </row>
    <row r="911" spans="1:16" x14ac:dyDescent="0.3">
      <c r="A911" s="9">
        <v>55170</v>
      </c>
      <c r="B911" s="9" t="s">
        <v>1855</v>
      </c>
      <c r="C911" s="9" t="s">
        <v>1856</v>
      </c>
      <c r="D911" s="9" t="s">
        <v>34</v>
      </c>
      <c r="E911" s="9" t="s">
        <v>35</v>
      </c>
      <c r="F911" s="10">
        <v>32213</v>
      </c>
      <c r="G911" s="7">
        <f t="shared" ca="1" si="56"/>
        <v>38.155555555555559</v>
      </c>
      <c r="H911" s="9" t="s">
        <v>36</v>
      </c>
      <c r="I911" s="9" t="s">
        <v>25</v>
      </c>
      <c r="J911" s="9" t="s">
        <v>26</v>
      </c>
      <c r="K911" s="9" t="s">
        <v>37</v>
      </c>
      <c r="L911" s="10">
        <v>45633</v>
      </c>
      <c r="M911" s="9">
        <f t="shared" ca="1" si="57"/>
        <v>1.4166666666666667</v>
      </c>
      <c r="N911" s="9">
        <v>4257</v>
      </c>
      <c r="O911" s="9" t="str">
        <f t="shared" si="58"/>
        <v>ديسمبر</v>
      </c>
      <c r="P911" s="7" t="str">
        <f t="shared" si="59"/>
        <v>راتب عالي</v>
      </c>
    </row>
    <row r="912" spans="1:16" x14ac:dyDescent="0.3">
      <c r="A912" s="7">
        <v>58534</v>
      </c>
      <c r="B912" s="7" t="s">
        <v>1857</v>
      </c>
      <c r="C912" s="7" t="s">
        <v>1858</v>
      </c>
      <c r="D912" s="7" t="s">
        <v>146</v>
      </c>
      <c r="E912" s="7" t="s">
        <v>17</v>
      </c>
      <c r="F912" s="8">
        <v>30414</v>
      </c>
      <c r="G912" s="7">
        <f t="shared" ca="1" si="56"/>
        <v>43.080555555555556</v>
      </c>
      <c r="H912" s="7" t="s">
        <v>18</v>
      </c>
      <c r="I912" s="7" t="s">
        <v>19</v>
      </c>
      <c r="J912" s="7" t="s">
        <v>21</v>
      </c>
      <c r="K912" s="7" t="s">
        <v>27</v>
      </c>
      <c r="L912" s="8">
        <v>45634</v>
      </c>
      <c r="M912" s="7">
        <f t="shared" ca="1" si="57"/>
        <v>1.413888888888889</v>
      </c>
      <c r="N912" s="7">
        <v>16291</v>
      </c>
      <c r="O912" s="7" t="str">
        <f t="shared" si="58"/>
        <v>ديسمبر</v>
      </c>
      <c r="P912" s="7" t="str">
        <f t="shared" si="59"/>
        <v>راتب طبيعي</v>
      </c>
    </row>
    <row r="913" spans="1:16" x14ac:dyDescent="0.3">
      <c r="A913" s="9">
        <v>56055</v>
      </c>
      <c r="B913" s="9" t="s">
        <v>1859</v>
      </c>
      <c r="C913" s="9" t="s">
        <v>1860</v>
      </c>
      <c r="D913" s="9" t="s">
        <v>146</v>
      </c>
      <c r="E913" s="9" t="s">
        <v>17</v>
      </c>
      <c r="F913" s="10">
        <v>31553</v>
      </c>
      <c r="G913" s="7">
        <f t="shared" ca="1" si="56"/>
        <v>39.961111111111109</v>
      </c>
      <c r="H913" s="9" t="s">
        <v>18</v>
      </c>
      <c r="I913" s="9" t="s">
        <v>46</v>
      </c>
      <c r="J913" s="9" t="s">
        <v>27</v>
      </c>
      <c r="K913" s="9" t="s">
        <v>26</v>
      </c>
      <c r="L913" s="10">
        <v>45635</v>
      </c>
      <c r="M913" s="9">
        <f t="shared" ca="1" si="57"/>
        <v>1.4111111111111112</v>
      </c>
      <c r="N913" s="9">
        <v>14589</v>
      </c>
      <c r="O913" s="9" t="str">
        <f t="shared" si="58"/>
        <v>ديسمبر</v>
      </c>
      <c r="P913" s="7" t="str">
        <f t="shared" si="59"/>
        <v>راتب طبيعي</v>
      </c>
    </row>
    <row r="914" spans="1:16" x14ac:dyDescent="0.3">
      <c r="A914" s="7">
        <v>59923</v>
      </c>
      <c r="B914" s="7" t="s">
        <v>1861</v>
      </c>
      <c r="C914" s="7" t="s">
        <v>1862</v>
      </c>
      <c r="D914" s="7" t="s">
        <v>53</v>
      </c>
      <c r="E914" s="7" t="s">
        <v>35</v>
      </c>
      <c r="F914" s="8">
        <v>32289</v>
      </c>
      <c r="G914" s="7">
        <f t="shared" ca="1" si="56"/>
        <v>37.947222222222223</v>
      </c>
      <c r="H914" s="7" t="s">
        <v>36</v>
      </c>
      <c r="I914" s="7" t="s">
        <v>25</v>
      </c>
      <c r="J914" s="7" t="s">
        <v>31</v>
      </c>
      <c r="K914" s="7" t="s">
        <v>20</v>
      </c>
      <c r="L914" s="8">
        <v>45636</v>
      </c>
      <c r="M914" s="7">
        <f t="shared" ca="1" si="57"/>
        <v>1.4083333333333334</v>
      </c>
      <c r="N914" s="7">
        <v>5647</v>
      </c>
      <c r="O914" s="7" t="str">
        <f t="shared" si="58"/>
        <v>ديسمبر</v>
      </c>
      <c r="P914" s="7" t="str">
        <f t="shared" si="59"/>
        <v>راتب عالي</v>
      </c>
    </row>
    <row r="915" spans="1:16" x14ac:dyDescent="0.3">
      <c r="A915" s="9">
        <v>57286</v>
      </c>
      <c r="B915" s="9" t="s">
        <v>1863</v>
      </c>
      <c r="C915" s="9" t="s">
        <v>1864</v>
      </c>
      <c r="D915" s="9" t="s">
        <v>40</v>
      </c>
      <c r="E915" s="9" t="s">
        <v>17</v>
      </c>
      <c r="F915" s="10">
        <v>33202</v>
      </c>
      <c r="G915" s="7">
        <f t="shared" ca="1" si="56"/>
        <v>35.450000000000003</v>
      </c>
      <c r="H915" s="9" t="s">
        <v>36</v>
      </c>
      <c r="I915" s="9" t="s">
        <v>25</v>
      </c>
      <c r="J915" s="9" t="s">
        <v>20</v>
      </c>
      <c r="K915" s="9" t="s">
        <v>31</v>
      </c>
      <c r="L915" s="10">
        <v>45637</v>
      </c>
      <c r="M915" s="9">
        <f t="shared" ca="1" si="57"/>
        <v>1.4055555555555554</v>
      </c>
      <c r="N915" s="9">
        <v>4068</v>
      </c>
      <c r="O915" s="9" t="str">
        <f t="shared" si="58"/>
        <v>ديسمبر</v>
      </c>
      <c r="P915" s="7" t="str">
        <f t="shared" si="59"/>
        <v>راتب عالي</v>
      </c>
    </row>
    <row r="916" spans="1:16" x14ac:dyDescent="0.3">
      <c r="A916" s="7">
        <v>55665</v>
      </c>
      <c r="B916" s="7" t="s">
        <v>1865</v>
      </c>
      <c r="C916" s="7" t="s">
        <v>1866</v>
      </c>
      <c r="D916" s="7" t="s">
        <v>43</v>
      </c>
      <c r="E916" s="7" t="s">
        <v>35</v>
      </c>
      <c r="F916" s="8">
        <v>34772</v>
      </c>
      <c r="G916" s="7">
        <f t="shared" ca="1" si="56"/>
        <v>31.147222222222222</v>
      </c>
      <c r="H916" s="7" t="s">
        <v>36</v>
      </c>
      <c r="I916" s="7" t="s">
        <v>25</v>
      </c>
      <c r="J916" s="7" t="s">
        <v>20</v>
      </c>
      <c r="K916" s="7" t="s">
        <v>37</v>
      </c>
      <c r="L916" s="8">
        <v>45638</v>
      </c>
      <c r="M916" s="7">
        <f t="shared" ca="1" si="57"/>
        <v>1.4027777777777777</v>
      </c>
      <c r="N916" s="7">
        <v>6444</v>
      </c>
      <c r="O916" s="7" t="str">
        <f t="shared" si="58"/>
        <v>ديسمبر</v>
      </c>
      <c r="P916" s="7" t="str">
        <f t="shared" si="59"/>
        <v>راتب طبيعي</v>
      </c>
    </row>
    <row r="917" spans="1:16" x14ac:dyDescent="0.3">
      <c r="A917" s="9">
        <v>54830</v>
      </c>
      <c r="B917" s="9" t="s">
        <v>1867</v>
      </c>
      <c r="C917" s="9" t="s">
        <v>1868</v>
      </c>
      <c r="D917" s="9" t="s">
        <v>34</v>
      </c>
      <c r="E917" s="9" t="s">
        <v>17</v>
      </c>
      <c r="F917" s="10">
        <v>30979</v>
      </c>
      <c r="G917" s="7">
        <f t="shared" ca="1" si="56"/>
        <v>41.536111111111111</v>
      </c>
      <c r="H917" s="9" t="s">
        <v>18</v>
      </c>
      <c r="I917" s="9" t="s">
        <v>25</v>
      </c>
      <c r="J917" s="9" t="s">
        <v>21</v>
      </c>
      <c r="K917" s="9" t="s">
        <v>21</v>
      </c>
      <c r="L917" s="10">
        <v>45639</v>
      </c>
      <c r="M917" s="9">
        <f t="shared" ca="1" si="57"/>
        <v>1.4</v>
      </c>
      <c r="N917" s="9">
        <v>5162</v>
      </c>
      <c r="O917" s="9" t="str">
        <f t="shared" si="58"/>
        <v>ديسمبر</v>
      </c>
      <c r="P917" s="7" t="str">
        <f t="shared" si="59"/>
        <v>راتب عالي</v>
      </c>
    </row>
    <row r="918" spans="1:16" x14ac:dyDescent="0.3">
      <c r="A918" s="7">
        <v>52062</v>
      </c>
      <c r="B918" s="7" t="s">
        <v>1869</v>
      </c>
      <c r="C918" s="7" t="s">
        <v>1870</v>
      </c>
      <c r="D918" s="7" t="s">
        <v>30</v>
      </c>
      <c r="E918" s="7" t="s">
        <v>17</v>
      </c>
      <c r="F918" s="8">
        <v>34105</v>
      </c>
      <c r="G918" s="7">
        <f t="shared" ca="1" si="56"/>
        <v>32.975000000000001</v>
      </c>
      <c r="H918" s="7" t="s">
        <v>18</v>
      </c>
      <c r="I918" s="7" t="s">
        <v>25</v>
      </c>
      <c r="J918" s="7" t="s">
        <v>20</v>
      </c>
      <c r="K918" s="7" t="s">
        <v>31</v>
      </c>
      <c r="L918" s="8">
        <v>45640</v>
      </c>
      <c r="M918" s="7">
        <f t="shared" ca="1" si="57"/>
        <v>1.3972222222222221</v>
      </c>
      <c r="N918" s="7">
        <v>5368</v>
      </c>
      <c r="O918" s="7" t="str">
        <f t="shared" si="58"/>
        <v>ديسمبر</v>
      </c>
      <c r="P918" s="7" t="str">
        <f t="shared" si="59"/>
        <v>راتب عالي</v>
      </c>
    </row>
    <row r="919" spans="1:16" x14ac:dyDescent="0.3">
      <c r="A919" s="9">
        <v>58118</v>
      </c>
      <c r="B919" s="9" t="s">
        <v>1871</v>
      </c>
      <c r="C919" s="9" t="s">
        <v>1872</v>
      </c>
      <c r="D919" s="9" t="s">
        <v>146</v>
      </c>
      <c r="E919" s="9" t="s">
        <v>35</v>
      </c>
      <c r="F919" s="10">
        <v>37198</v>
      </c>
      <c r="G919" s="7">
        <f t="shared" ca="1" si="56"/>
        <v>24.511111111111113</v>
      </c>
      <c r="H919" s="9" t="s">
        <v>18</v>
      </c>
      <c r="I919" s="9" t="s">
        <v>25</v>
      </c>
      <c r="J919" s="9" t="s">
        <v>27</v>
      </c>
      <c r="K919" s="9" t="s">
        <v>26</v>
      </c>
      <c r="L919" s="10">
        <v>45641</v>
      </c>
      <c r="M919" s="9">
        <f t="shared" ca="1" si="57"/>
        <v>1.3944444444444444</v>
      </c>
      <c r="N919" s="9">
        <v>6582</v>
      </c>
      <c r="O919" s="9" t="str">
        <f t="shared" si="58"/>
        <v>ديسمبر</v>
      </c>
      <c r="P919" s="7" t="str">
        <f t="shared" si="59"/>
        <v>راتب طبيعي</v>
      </c>
    </row>
    <row r="920" spans="1:16" x14ac:dyDescent="0.3">
      <c r="A920" s="7">
        <v>59895</v>
      </c>
      <c r="B920" s="7" t="s">
        <v>1873</v>
      </c>
      <c r="C920" s="7" t="s">
        <v>1874</v>
      </c>
      <c r="D920" s="7" t="s">
        <v>34</v>
      </c>
      <c r="E920" s="7" t="s">
        <v>17</v>
      </c>
      <c r="F920" s="8">
        <v>36800</v>
      </c>
      <c r="G920" s="7">
        <f t="shared" ca="1" si="56"/>
        <v>25.6</v>
      </c>
      <c r="H920" s="7" t="s">
        <v>18</v>
      </c>
      <c r="I920" s="7" t="s">
        <v>46</v>
      </c>
      <c r="J920" s="7" t="s">
        <v>26</v>
      </c>
      <c r="K920" s="7" t="s">
        <v>20</v>
      </c>
      <c r="L920" s="8">
        <v>45642</v>
      </c>
      <c r="M920" s="7">
        <f t="shared" ca="1" si="57"/>
        <v>1.3916666666666666</v>
      </c>
      <c r="N920" s="7">
        <v>12044</v>
      </c>
      <c r="O920" s="7" t="str">
        <f t="shared" si="58"/>
        <v>ديسمبر</v>
      </c>
      <c r="P920" s="7" t="str">
        <f t="shared" si="59"/>
        <v>راتب طبيعي</v>
      </c>
    </row>
    <row r="921" spans="1:16" x14ac:dyDescent="0.3">
      <c r="A921" s="9">
        <v>58498</v>
      </c>
      <c r="B921" s="9" t="s">
        <v>1875</v>
      </c>
      <c r="C921" s="9" t="s">
        <v>1876</v>
      </c>
      <c r="D921" s="9" t="s">
        <v>43</v>
      </c>
      <c r="E921" s="9" t="s">
        <v>17</v>
      </c>
      <c r="F921" s="10">
        <v>34246</v>
      </c>
      <c r="G921" s="7">
        <f t="shared" ca="1" si="56"/>
        <v>32.591666666666669</v>
      </c>
      <c r="H921" s="9" t="s">
        <v>36</v>
      </c>
      <c r="I921" s="9" t="s">
        <v>25</v>
      </c>
      <c r="J921" s="9" t="s">
        <v>31</v>
      </c>
      <c r="K921" s="9" t="s">
        <v>31</v>
      </c>
      <c r="L921" s="10">
        <v>45643</v>
      </c>
      <c r="M921" s="9">
        <f t="shared" ca="1" si="57"/>
        <v>1.3888888888888888</v>
      </c>
      <c r="N921" s="9">
        <v>6584</v>
      </c>
      <c r="O921" s="9" t="str">
        <f t="shared" si="58"/>
        <v>ديسمبر</v>
      </c>
      <c r="P921" s="7" t="str">
        <f t="shared" si="59"/>
        <v>راتب طبيعي</v>
      </c>
    </row>
    <row r="922" spans="1:16" x14ac:dyDescent="0.3">
      <c r="A922" s="7">
        <v>52878</v>
      </c>
      <c r="B922" s="7" t="s">
        <v>1877</v>
      </c>
      <c r="C922" s="7" t="s">
        <v>1878</v>
      </c>
      <c r="D922" s="7" t="s">
        <v>146</v>
      </c>
      <c r="E922" s="7" t="s">
        <v>35</v>
      </c>
      <c r="F922" s="8">
        <v>37633</v>
      </c>
      <c r="G922" s="7">
        <f t="shared" ca="1" si="56"/>
        <v>23.319444444444443</v>
      </c>
      <c r="H922" s="7" t="s">
        <v>36</v>
      </c>
      <c r="I922" s="7" t="s">
        <v>25</v>
      </c>
      <c r="J922" s="7" t="s">
        <v>31</v>
      </c>
      <c r="K922" s="7" t="s">
        <v>31</v>
      </c>
      <c r="L922" s="8">
        <v>45644</v>
      </c>
      <c r="M922" s="7">
        <f t="shared" ca="1" si="57"/>
        <v>1.3861111111111111</v>
      </c>
      <c r="N922" s="7">
        <v>4632</v>
      </c>
      <c r="O922" s="7" t="str">
        <f t="shared" si="58"/>
        <v>ديسمبر</v>
      </c>
      <c r="P922" s="7" t="str">
        <f t="shared" si="59"/>
        <v>راتب عالي</v>
      </c>
    </row>
    <row r="923" spans="1:16" x14ac:dyDescent="0.3">
      <c r="A923" s="9">
        <v>56404</v>
      </c>
      <c r="B923" s="9" t="s">
        <v>1879</v>
      </c>
      <c r="C923" s="9" t="s">
        <v>1880</v>
      </c>
      <c r="D923" s="9" t="s">
        <v>30</v>
      </c>
      <c r="E923" s="9" t="s">
        <v>35</v>
      </c>
      <c r="F923" s="10">
        <v>34917</v>
      </c>
      <c r="G923" s="7">
        <f t="shared" ca="1" si="56"/>
        <v>30.752777777777776</v>
      </c>
      <c r="H923" s="9" t="s">
        <v>36</v>
      </c>
      <c r="I923" s="9" t="s">
        <v>25</v>
      </c>
      <c r="J923" s="9" t="s">
        <v>26</v>
      </c>
      <c r="K923" s="9" t="s">
        <v>26</v>
      </c>
      <c r="L923" s="10">
        <v>45645</v>
      </c>
      <c r="M923" s="9">
        <f t="shared" ca="1" si="57"/>
        <v>1.3833333333333333</v>
      </c>
      <c r="N923" s="9">
        <v>6698</v>
      </c>
      <c r="O923" s="9" t="str">
        <f t="shared" si="58"/>
        <v>ديسمبر</v>
      </c>
      <c r="P923" s="7" t="str">
        <f t="shared" si="59"/>
        <v>راتب طبيعي</v>
      </c>
    </row>
    <row r="924" spans="1:16" x14ac:dyDescent="0.3">
      <c r="A924" s="7">
        <v>51024</v>
      </c>
      <c r="B924" s="7" t="s">
        <v>1881</v>
      </c>
      <c r="C924" s="7" t="s">
        <v>1882</v>
      </c>
      <c r="D924" s="7" t="s">
        <v>16</v>
      </c>
      <c r="E924" s="7" t="s">
        <v>35</v>
      </c>
      <c r="F924" s="8">
        <v>30672</v>
      </c>
      <c r="G924" s="7">
        <f t="shared" ca="1" si="56"/>
        <v>42.375</v>
      </c>
      <c r="H924" s="7" t="s">
        <v>18</v>
      </c>
      <c r="I924" s="7" t="s">
        <v>25</v>
      </c>
      <c r="J924" s="7" t="s">
        <v>27</v>
      </c>
      <c r="K924" s="7" t="s">
        <v>37</v>
      </c>
      <c r="L924" s="8">
        <v>45646</v>
      </c>
      <c r="M924" s="7">
        <f t="shared" ca="1" si="57"/>
        <v>1.3805555555555555</v>
      </c>
      <c r="N924" s="7">
        <v>3674</v>
      </c>
      <c r="O924" s="7" t="str">
        <f t="shared" si="58"/>
        <v>ديسمبر</v>
      </c>
      <c r="P924" s="7" t="str">
        <f t="shared" si="59"/>
        <v>راتب عالي</v>
      </c>
    </row>
    <row r="925" spans="1:16" x14ac:dyDescent="0.3">
      <c r="A925" s="9">
        <v>53431</v>
      </c>
      <c r="B925" s="9" t="s">
        <v>1883</v>
      </c>
      <c r="C925" s="9" t="s">
        <v>1884</v>
      </c>
      <c r="D925" s="9" t="s">
        <v>24</v>
      </c>
      <c r="E925" s="9" t="s">
        <v>17</v>
      </c>
      <c r="F925" s="10">
        <v>30756</v>
      </c>
      <c r="G925" s="7">
        <f t="shared" ca="1" si="56"/>
        <v>42.144444444444446</v>
      </c>
      <c r="H925" s="9" t="s">
        <v>36</v>
      </c>
      <c r="I925" s="9" t="s">
        <v>19</v>
      </c>
      <c r="J925" s="9" t="s">
        <v>21</v>
      </c>
      <c r="K925" s="9" t="s">
        <v>37</v>
      </c>
      <c r="L925" s="10">
        <v>45647</v>
      </c>
      <c r="M925" s="9">
        <f t="shared" ca="1" si="57"/>
        <v>1.3777777777777778</v>
      </c>
      <c r="N925" s="9">
        <v>21615</v>
      </c>
      <c r="O925" s="9" t="str">
        <f t="shared" si="58"/>
        <v>ديسمبر</v>
      </c>
      <c r="P925" s="7" t="str">
        <f t="shared" si="59"/>
        <v>راتب طبيعي</v>
      </c>
    </row>
    <row r="926" spans="1:16" x14ac:dyDescent="0.3">
      <c r="A926" s="7">
        <v>51471</v>
      </c>
      <c r="B926" s="7" t="s">
        <v>1885</v>
      </c>
      <c r="C926" s="7" t="s">
        <v>1886</v>
      </c>
      <c r="D926" s="7" t="s">
        <v>34</v>
      </c>
      <c r="E926" s="7" t="s">
        <v>35</v>
      </c>
      <c r="F926" s="8">
        <v>36400</v>
      </c>
      <c r="G926" s="7">
        <f t="shared" ca="1" si="56"/>
        <v>26.691666666666666</v>
      </c>
      <c r="H926" s="7" t="s">
        <v>18</v>
      </c>
      <c r="I926" s="7" t="s">
        <v>25</v>
      </c>
      <c r="J926" s="7" t="s">
        <v>31</v>
      </c>
      <c r="K926" s="7" t="s">
        <v>37</v>
      </c>
      <c r="L926" s="8">
        <v>45648</v>
      </c>
      <c r="M926" s="7">
        <f t="shared" ca="1" si="57"/>
        <v>1.375</v>
      </c>
      <c r="N926" s="7">
        <v>4988</v>
      </c>
      <c r="O926" s="7" t="str">
        <f t="shared" si="58"/>
        <v>ديسمبر</v>
      </c>
      <c r="P926" s="7" t="str">
        <f t="shared" si="59"/>
        <v>راتب عالي</v>
      </c>
    </row>
    <row r="927" spans="1:16" x14ac:dyDescent="0.3">
      <c r="A927" s="9">
        <v>50398</v>
      </c>
      <c r="B927" s="9" t="s">
        <v>1887</v>
      </c>
      <c r="C927" s="9" t="s">
        <v>1888</v>
      </c>
      <c r="D927" s="9" t="s">
        <v>16</v>
      </c>
      <c r="E927" s="9" t="s">
        <v>35</v>
      </c>
      <c r="F927" s="10">
        <v>37500</v>
      </c>
      <c r="G927" s="7">
        <f t="shared" ca="1" si="56"/>
        <v>23.683333333333334</v>
      </c>
      <c r="H927" s="9" t="s">
        <v>36</v>
      </c>
      <c r="I927" s="9" t="s">
        <v>46</v>
      </c>
      <c r="J927" s="9" t="s">
        <v>20</v>
      </c>
      <c r="K927" s="9" t="s">
        <v>26</v>
      </c>
      <c r="L927" s="10">
        <v>45649</v>
      </c>
      <c r="M927" s="9">
        <f t="shared" ca="1" si="57"/>
        <v>1.3722222222222222</v>
      </c>
      <c r="N927" s="9">
        <v>14546</v>
      </c>
      <c r="O927" s="9" t="str">
        <f t="shared" si="58"/>
        <v>ديسمبر</v>
      </c>
      <c r="P927" s="7" t="str">
        <f t="shared" si="59"/>
        <v>راتب طبيعي</v>
      </c>
    </row>
    <row r="928" spans="1:16" x14ac:dyDescent="0.3">
      <c r="A928" s="7">
        <v>58543</v>
      </c>
      <c r="B928" s="7" t="s">
        <v>1889</v>
      </c>
      <c r="C928" s="7" t="s">
        <v>1890</v>
      </c>
      <c r="D928" s="7" t="s">
        <v>16</v>
      </c>
      <c r="E928" s="7" t="s">
        <v>17</v>
      </c>
      <c r="F928" s="8">
        <v>33866</v>
      </c>
      <c r="G928" s="7">
        <f t="shared" ca="1" si="56"/>
        <v>33.633333333333333</v>
      </c>
      <c r="H928" s="7" t="s">
        <v>18</v>
      </c>
      <c r="I928" s="7" t="s">
        <v>25</v>
      </c>
      <c r="J928" s="7" t="s">
        <v>20</v>
      </c>
      <c r="K928" s="7" t="s">
        <v>27</v>
      </c>
      <c r="L928" s="8">
        <v>45650</v>
      </c>
      <c r="M928" s="7">
        <f t="shared" ca="1" si="57"/>
        <v>1.3694444444444445</v>
      </c>
      <c r="N928" s="7">
        <v>5066</v>
      </c>
      <c r="O928" s="7" t="str">
        <f t="shared" si="58"/>
        <v>ديسمبر</v>
      </c>
      <c r="P928" s="7" t="str">
        <f t="shared" si="59"/>
        <v>راتب عالي</v>
      </c>
    </row>
    <row r="929" spans="1:16" x14ac:dyDescent="0.3">
      <c r="A929" s="9">
        <v>54957</v>
      </c>
      <c r="B929" s="9" t="s">
        <v>1891</v>
      </c>
      <c r="C929" s="9" t="s">
        <v>1892</v>
      </c>
      <c r="D929" s="9" t="s">
        <v>16</v>
      </c>
      <c r="E929" s="9" t="s">
        <v>17</v>
      </c>
      <c r="F929" s="10">
        <v>32614</v>
      </c>
      <c r="G929" s="7">
        <f t="shared" ca="1" si="56"/>
        <v>37.05833333333333</v>
      </c>
      <c r="H929" s="9" t="s">
        <v>36</v>
      </c>
      <c r="I929" s="9" t="s">
        <v>46</v>
      </c>
      <c r="J929" s="9" t="s">
        <v>26</v>
      </c>
      <c r="K929" s="9" t="s">
        <v>21</v>
      </c>
      <c r="L929" s="10">
        <v>45651</v>
      </c>
      <c r="M929" s="9">
        <f t="shared" ca="1" si="57"/>
        <v>1.3666666666666667</v>
      </c>
      <c r="N929" s="9">
        <v>14486</v>
      </c>
      <c r="O929" s="9" t="str">
        <f t="shared" si="58"/>
        <v>ديسمبر</v>
      </c>
      <c r="P929" s="7" t="str">
        <f t="shared" si="59"/>
        <v>راتب طبيعي</v>
      </c>
    </row>
    <row r="930" spans="1:16" x14ac:dyDescent="0.3">
      <c r="A930" s="7">
        <v>59110</v>
      </c>
      <c r="B930" s="7" t="s">
        <v>1893</v>
      </c>
      <c r="C930" s="7" t="s">
        <v>1894</v>
      </c>
      <c r="D930" s="7" t="s">
        <v>53</v>
      </c>
      <c r="E930" s="7" t="s">
        <v>17</v>
      </c>
      <c r="F930" s="8">
        <v>33412</v>
      </c>
      <c r="G930" s="7">
        <f t="shared" ca="1" si="56"/>
        <v>34.87222222222222</v>
      </c>
      <c r="H930" s="7" t="s">
        <v>18</v>
      </c>
      <c r="I930" s="7" t="s">
        <v>25</v>
      </c>
      <c r="J930" s="7" t="s">
        <v>27</v>
      </c>
      <c r="K930" s="7" t="s">
        <v>37</v>
      </c>
      <c r="L930" s="8">
        <v>45652</v>
      </c>
      <c r="M930" s="7">
        <f t="shared" ca="1" si="57"/>
        <v>1.3638888888888889</v>
      </c>
      <c r="N930" s="7">
        <v>6035</v>
      </c>
      <c r="O930" s="7" t="str">
        <f t="shared" si="58"/>
        <v>ديسمبر</v>
      </c>
      <c r="P930" s="7" t="str">
        <f t="shared" si="59"/>
        <v>راتب طبيعي</v>
      </c>
    </row>
    <row r="931" spans="1:16" x14ac:dyDescent="0.3">
      <c r="A931" s="9">
        <v>50170</v>
      </c>
      <c r="B931" s="9" t="s">
        <v>1895</v>
      </c>
      <c r="C931" s="9" t="s">
        <v>1896</v>
      </c>
      <c r="D931" s="9" t="s">
        <v>146</v>
      </c>
      <c r="E931" s="9" t="s">
        <v>17</v>
      </c>
      <c r="F931" s="10">
        <v>30222</v>
      </c>
      <c r="G931" s="7">
        <f t="shared" ca="1" si="56"/>
        <v>43.608333333333334</v>
      </c>
      <c r="H931" s="9" t="s">
        <v>18</v>
      </c>
      <c r="I931" s="9" t="s">
        <v>25</v>
      </c>
      <c r="J931" s="9" t="s">
        <v>20</v>
      </c>
      <c r="K931" s="9" t="s">
        <v>37</v>
      </c>
      <c r="L931" s="10">
        <v>45653</v>
      </c>
      <c r="M931" s="9">
        <f t="shared" ca="1" si="57"/>
        <v>1.3611111111111112</v>
      </c>
      <c r="N931" s="9">
        <v>7000</v>
      </c>
      <c r="O931" s="9" t="str">
        <f t="shared" si="58"/>
        <v>ديسمبر</v>
      </c>
      <c r="P931" s="7" t="str">
        <f t="shared" si="59"/>
        <v>راتب طبيعي</v>
      </c>
    </row>
    <row r="932" spans="1:16" x14ac:dyDescent="0.3">
      <c r="A932" s="7">
        <v>55749</v>
      </c>
      <c r="B932" s="7" t="s">
        <v>1897</v>
      </c>
      <c r="C932" s="7" t="s">
        <v>1898</v>
      </c>
      <c r="D932" s="7" t="s">
        <v>40</v>
      </c>
      <c r="E932" s="7" t="s">
        <v>17</v>
      </c>
      <c r="F932" s="8">
        <v>35048</v>
      </c>
      <c r="G932" s="7">
        <f t="shared" ca="1" si="56"/>
        <v>30.394444444444446</v>
      </c>
      <c r="H932" s="7" t="s">
        <v>18</v>
      </c>
      <c r="I932" s="7" t="s">
        <v>46</v>
      </c>
      <c r="J932" s="7" t="s">
        <v>31</v>
      </c>
      <c r="K932" s="7" t="s">
        <v>26</v>
      </c>
      <c r="L932" s="8">
        <v>45654</v>
      </c>
      <c r="M932" s="7">
        <f t="shared" ca="1" si="57"/>
        <v>1.3583333333333334</v>
      </c>
      <c r="N932" s="7">
        <v>11461</v>
      </c>
      <c r="O932" s="7" t="str">
        <f t="shared" si="58"/>
        <v>ديسمبر</v>
      </c>
      <c r="P932" s="7" t="str">
        <f t="shared" si="59"/>
        <v>راتب طبيعي</v>
      </c>
    </row>
    <row r="933" spans="1:16" x14ac:dyDescent="0.3">
      <c r="A933" s="9">
        <v>50195</v>
      </c>
      <c r="B933" s="9" t="s">
        <v>1899</v>
      </c>
      <c r="C933" s="9" t="s">
        <v>1900</v>
      </c>
      <c r="D933" s="9" t="s">
        <v>34</v>
      </c>
      <c r="E933" s="9" t="s">
        <v>17</v>
      </c>
      <c r="F933" s="10">
        <v>35607</v>
      </c>
      <c r="G933" s="7">
        <f t="shared" ca="1" si="56"/>
        <v>28.863888888888887</v>
      </c>
      <c r="H933" s="9" t="s">
        <v>18</v>
      </c>
      <c r="I933" s="9" t="s">
        <v>25</v>
      </c>
      <c r="J933" s="9" t="s">
        <v>20</v>
      </c>
      <c r="K933" s="9" t="s">
        <v>37</v>
      </c>
      <c r="L933" s="10">
        <v>45655</v>
      </c>
      <c r="M933" s="9">
        <f t="shared" ca="1" si="57"/>
        <v>1.3555555555555556</v>
      </c>
      <c r="N933" s="9">
        <v>6779</v>
      </c>
      <c r="O933" s="9" t="str">
        <f t="shared" si="58"/>
        <v>ديسمبر</v>
      </c>
      <c r="P933" s="7" t="str">
        <f t="shared" si="59"/>
        <v>راتب طبيعي</v>
      </c>
    </row>
    <row r="934" spans="1:16" x14ac:dyDescent="0.3">
      <c r="A934" s="7">
        <v>54592</v>
      </c>
      <c r="B934" s="7" t="s">
        <v>1901</v>
      </c>
      <c r="C934" s="7" t="s">
        <v>1902</v>
      </c>
      <c r="D934" s="7" t="s">
        <v>30</v>
      </c>
      <c r="E934" s="7" t="s">
        <v>35</v>
      </c>
      <c r="F934" s="8">
        <v>37246</v>
      </c>
      <c r="G934" s="7">
        <f t="shared" ca="1" si="56"/>
        <v>24.377777777777776</v>
      </c>
      <c r="H934" s="7" t="s">
        <v>36</v>
      </c>
      <c r="I934" s="7" t="s">
        <v>25</v>
      </c>
      <c r="J934" s="7" t="s">
        <v>21</v>
      </c>
      <c r="K934" s="7" t="s">
        <v>27</v>
      </c>
      <c r="L934" s="8">
        <v>45656</v>
      </c>
      <c r="M934" s="7">
        <f t="shared" ca="1" si="57"/>
        <v>1.3527777777777779</v>
      </c>
      <c r="N934" s="7">
        <v>5436</v>
      </c>
      <c r="O934" s="7" t="str">
        <f t="shared" si="58"/>
        <v>ديسمبر</v>
      </c>
      <c r="P934" s="7" t="str">
        <f t="shared" si="59"/>
        <v>راتب عالي</v>
      </c>
    </row>
    <row r="935" spans="1:16" x14ac:dyDescent="0.3">
      <c r="A935" s="9">
        <v>51807</v>
      </c>
      <c r="B935" s="9" t="s">
        <v>1903</v>
      </c>
      <c r="C935" s="9" t="s">
        <v>1904</v>
      </c>
      <c r="D935" s="9" t="s">
        <v>95</v>
      </c>
      <c r="E935" s="9" t="s">
        <v>35</v>
      </c>
      <c r="F935" s="10">
        <v>31919</v>
      </c>
      <c r="G935" s="7">
        <f t="shared" ca="1" si="56"/>
        <v>38.958333333333336</v>
      </c>
      <c r="H935" s="9" t="s">
        <v>18</v>
      </c>
      <c r="I935" s="9" t="s">
        <v>25</v>
      </c>
      <c r="J935" s="9" t="s">
        <v>20</v>
      </c>
      <c r="K935" s="9" t="s">
        <v>20</v>
      </c>
      <c r="L935" s="10">
        <v>45657</v>
      </c>
      <c r="M935" s="9">
        <f t="shared" ca="1" si="57"/>
        <v>1.3527777777777779</v>
      </c>
      <c r="N935" s="9">
        <v>4811</v>
      </c>
      <c r="O935" s="9" t="str">
        <f t="shared" si="58"/>
        <v>ديسمبر</v>
      </c>
      <c r="P935" s="7" t="str">
        <f t="shared" si="59"/>
        <v>راتب عالي</v>
      </c>
    </row>
    <row r="936" spans="1:16" x14ac:dyDescent="0.3">
      <c r="A936" s="7">
        <v>58195</v>
      </c>
      <c r="B936" s="7" t="s">
        <v>1905</v>
      </c>
      <c r="C936" s="7" t="s">
        <v>1906</v>
      </c>
      <c r="D936" s="7" t="s">
        <v>34</v>
      </c>
      <c r="E936" s="7" t="s">
        <v>35</v>
      </c>
      <c r="F936" s="8">
        <v>37312</v>
      </c>
      <c r="G936" s="7">
        <f t="shared" ca="1" si="56"/>
        <v>24.2</v>
      </c>
      <c r="H936" s="7" t="s">
        <v>36</v>
      </c>
      <c r="I936" s="7" t="s">
        <v>25</v>
      </c>
      <c r="J936" s="7" t="s">
        <v>26</v>
      </c>
      <c r="K936" s="7" t="s">
        <v>31</v>
      </c>
      <c r="L936" s="8">
        <v>45658</v>
      </c>
      <c r="M936" s="7">
        <f t="shared" ca="1" si="57"/>
        <v>1.35</v>
      </c>
      <c r="N936" s="7">
        <v>5739</v>
      </c>
      <c r="O936" s="7" t="str">
        <f t="shared" si="58"/>
        <v>يناير</v>
      </c>
      <c r="P936" s="7" t="str">
        <f t="shared" si="59"/>
        <v>راتب عالي</v>
      </c>
    </row>
    <row r="937" spans="1:16" x14ac:dyDescent="0.3">
      <c r="A937" s="9">
        <v>58722</v>
      </c>
      <c r="B937" s="9" t="s">
        <v>1907</v>
      </c>
      <c r="C937" s="9" t="s">
        <v>1908</v>
      </c>
      <c r="D937" s="9" t="s">
        <v>24</v>
      </c>
      <c r="E937" s="9" t="s">
        <v>35</v>
      </c>
      <c r="F937" s="10">
        <v>36156</v>
      </c>
      <c r="G937" s="7">
        <f t="shared" ca="1" si="56"/>
        <v>27.361111111111111</v>
      </c>
      <c r="H937" s="9" t="s">
        <v>18</v>
      </c>
      <c r="I937" s="9" t="s">
        <v>25</v>
      </c>
      <c r="J937" s="9" t="s">
        <v>26</v>
      </c>
      <c r="K937" s="9" t="s">
        <v>27</v>
      </c>
      <c r="L937" s="10">
        <v>45659</v>
      </c>
      <c r="M937" s="9">
        <f t="shared" ca="1" si="57"/>
        <v>1.3472222222222223</v>
      </c>
      <c r="N937" s="9">
        <v>5400</v>
      </c>
      <c r="O937" s="9" t="str">
        <f t="shared" si="58"/>
        <v>يناير</v>
      </c>
      <c r="P937" s="7" t="str">
        <f t="shared" si="59"/>
        <v>راتب عالي</v>
      </c>
    </row>
    <row r="938" spans="1:16" x14ac:dyDescent="0.3">
      <c r="A938" s="7">
        <v>57829</v>
      </c>
      <c r="B938" s="7" t="s">
        <v>1909</v>
      </c>
      <c r="C938" s="7" t="s">
        <v>1910</v>
      </c>
      <c r="D938" s="7" t="s">
        <v>43</v>
      </c>
      <c r="E938" s="7" t="s">
        <v>17</v>
      </c>
      <c r="F938" s="8">
        <v>30093</v>
      </c>
      <c r="G938" s="7">
        <f t="shared" ca="1" si="56"/>
        <v>43.958333333333336</v>
      </c>
      <c r="H938" s="7" t="s">
        <v>18</v>
      </c>
      <c r="I938" s="7" t="s">
        <v>25</v>
      </c>
      <c r="J938" s="7" t="s">
        <v>20</v>
      </c>
      <c r="K938" s="7" t="s">
        <v>26</v>
      </c>
      <c r="L938" s="8">
        <v>45660</v>
      </c>
      <c r="M938" s="7">
        <f t="shared" ca="1" si="57"/>
        <v>1.3444444444444446</v>
      </c>
      <c r="N938" s="7">
        <v>5879</v>
      </c>
      <c r="O938" s="7" t="str">
        <f t="shared" si="58"/>
        <v>يناير</v>
      </c>
      <c r="P938" s="7" t="str">
        <f t="shared" si="59"/>
        <v>راتب عالي</v>
      </c>
    </row>
    <row r="939" spans="1:16" x14ac:dyDescent="0.3">
      <c r="A939" s="9">
        <v>58480</v>
      </c>
      <c r="B939" s="9" t="s">
        <v>1911</v>
      </c>
      <c r="C939" s="9" t="s">
        <v>1912</v>
      </c>
      <c r="D939" s="9" t="s">
        <v>30</v>
      </c>
      <c r="E939" s="9" t="s">
        <v>17</v>
      </c>
      <c r="F939" s="10">
        <v>36658</v>
      </c>
      <c r="G939" s="7">
        <f t="shared" ca="1" si="56"/>
        <v>25.986111111111111</v>
      </c>
      <c r="H939" s="9" t="s">
        <v>18</v>
      </c>
      <c r="I939" s="9" t="s">
        <v>25</v>
      </c>
      <c r="J939" s="9" t="s">
        <v>21</v>
      </c>
      <c r="K939" s="9" t="s">
        <v>31</v>
      </c>
      <c r="L939" s="10">
        <v>45661</v>
      </c>
      <c r="M939" s="9">
        <f t="shared" ca="1" si="57"/>
        <v>1.3416666666666666</v>
      </c>
      <c r="N939" s="9">
        <v>6218</v>
      </c>
      <c r="O939" s="9" t="str">
        <f t="shared" si="58"/>
        <v>يناير</v>
      </c>
      <c r="P939" s="7" t="str">
        <f t="shared" si="59"/>
        <v>راتب طبيعي</v>
      </c>
    </row>
    <row r="940" spans="1:16" x14ac:dyDescent="0.3">
      <c r="A940" s="7">
        <v>51299</v>
      </c>
      <c r="B940" s="7" t="s">
        <v>1913</v>
      </c>
      <c r="C940" s="7" t="s">
        <v>1914</v>
      </c>
      <c r="D940" s="7" t="s">
        <v>66</v>
      </c>
      <c r="E940" s="7" t="s">
        <v>17</v>
      </c>
      <c r="F940" s="8">
        <v>32144</v>
      </c>
      <c r="G940" s="7">
        <f t="shared" ca="1" si="56"/>
        <v>38.347222222222221</v>
      </c>
      <c r="H940" s="7" t="s">
        <v>18</v>
      </c>
      <c r="I940" s="7" t="s">
        <v>25</v>
      </c>
      <c r="J940" s="7" t="s">
        <v>21</v>
      </c>
      <c r="K940" s="7" t="s">
        <v>26</v>
      </c>
      <c r="L940" s="8">
        <v>45662</v>
      </c>
      <c r="M940" s="7">
        <f t="shared" ca="1" si="57"/>
        <v>1.3388888888888888</v>
      </c>
      <c r="N940" s="7">
        <v>5379</v>
      </c>
      <c r="O940" s="7" t="str">
        <f t="shared" si="58"/>
        <v>يناير</v>
      </c>
      <c r="P940" s="7" t="str">
        <f t="shared" si="59"/>
        <v>راتب عالي</v>
      </c>
    </row>
    <row r="941" spans="1:16" x14ac:dyDescent="0.3">
      <c r="A941" s="9">
        <v>55725</v>
      </c>
      <c r="B941" s="9" t="s">
        <v>1915</v>
      </c>
      <c r="C941" s="9" t="s">
        <v>1916</v>
      </c>
      <c r="D941" s="9" t="s">
        <v>40</v>
      </c>
      <c r="E941" s="9" t="s">
        <v>17</v>
      </c>
      <c r="F941" s="10">
        <v>32034</v>
      </c>
      <c r="G941" s="7">
        <f t="shared" ca="1" si="56"/>
        <v>38.647222222222226</v>
      </c>
      <c r="H941" s="9" t="s">
        <v>36</v>
      </c>
      <c r="I941" s="9" t="s">
        <v>25</v>
      </c>
      <c r="J941" s="9" t="s">
        <v>21</v>
      </c>
      <c r="K941" s="9" t="s">
        <v>21</v>
      </c>
      <c r="L941" s="10">
        <v>45663</v>
      </c>
      <c r="M941" s="9">
        <f t="shared" ca="1" si="57"/>
        <v>1.336111111111111</v>
      </c>
      <c r="N941" s="9">
        <v>6635</v>
      </c>
      <c r="O941" s="9" t="str">
        <f t="shared" si="58"/>
        <v>يناير</v>
      </c>
      <c r="P941" s="7" t="str">
        <f t="shared" si="59"/>
        <v>راتب طبيعي</v>
      </c>
    </row>
    <row r="942" spans="1:16" x14ac:dyDescent="0.3">
      <c r="A942" s="7">
        <v>50984</v>
      </c>
      <c r="B942" s="7" t="s">
        <v>1917</v>
      </c>
      <c r="C942" s="7" t="s">
        <v>1918</v>
      </c>
      <c r="D942" s="7" t="s">
        <v>30</v>
      </c>
      <c r="E942" s="7" t="s">
        <v>17</v>
      </c>
      <c r="F942" s="8">
        <v>30812</v>
      </c>
      <c r="G942" s="7">
        <f t="shared" ca="1" si="56"/>
        <v>41.991666666666667</v>
      </c>
      <c r="H942" s="7" t="s">
        <v>36</v>
      </c>
      <c r="I942" s="7" t="s">
        <v>25</v>
      </c>
      <c r="J942" s="7" t="s">
        <v>31</v>
      </c>
      <c r="K942" s="7" t="s">
        <v>20</v>
      </c>
      <c r="L942" s="8">
        <v>45664</v>
      </c>
      <c r="M942" s="7">
        <f t="shared" ca="1" si="57"/>
        <v>1.3333333333333333</v>
      </c>
      <c r="N942" s="7">
        <v>4246</v>
      </c>
      <c r="O942" s="7" t="str">
        <f t="shared" si="58"/>
        <v>يناير</v>
      </c>
      <c r="P942" s="7" t="str">
        <f t="shared" si="59"/>
        <v>راتب عالي</v>
      </c>
    </row>
    <row r="943" spans="1:16" x14ac:dyDescent="0.3">
      <c r="A943" s="9">
        <v>50197</v>
      </c>
      <c r="B943" s="9" t="s">
        <v>1919</v>
      </c>
      <c r="C943" s="9" t="s">
        <v>1920</v>
      </c>
      <c r="D943" s="9" t="s">
        <v>66</v>
      </c>
      <c r="E943" s="9" t="s">
        <v>17</v>
      </c>
      <c r="F943" s="10">
        <v>37371</v>
      </c>
      <c r="G943" s="7">
        <f t="shared" ca="1" si="56"/>
        <v>24.033333333333335</v>
      </c>
      <c r="H943" s="9" t="s">
        <v>18</v>
      </c>
      <c r="I943" s="9" t="s">
        <v>25</v>
      </c>
      <c r="J943" s="9" t="s">
        <v>26</v>
      </c>
      <c r="K943" s="9" t="s">
        <v>37</v>
      </c>
      <c r="L943" s="10">
        <v>45665</v>
      </c>
      <c r="M943" s="9">
        <f t="shared" ca="1" si="57"/>
        <v>1.3305555555555555</v>
      </c>
      <c r="N943" s="9">
        <v>5162</v>
      </c>
      <c r="O943" s="9" t="str">
        <f t="shared" si="58"/>
        <v>يناير</v>
      </c>
      <c r="P943" s="7" t="str">
        <f t="shared" si="59"/>
        <v>راتب عالي</v>
      </c>
    </row>
    <row r="944" spans="1:16" x14ac:dyDescent="0.3">
      <c r="A944" s="7">
        <v>52572</v>
      </c>
      <c r="B944" s="7" t="s">
        <v>1921</v>
      </c>
      <c r="C944" s="7" t="s">
        <v>1922</v>
      </c>
      <c r="D944" s="7" t="s">
        <v>34</v>
      </c>
      <c r="E944" s="7" t="s">
        <v>17</v>
      </c>
      <c r="F944" s="8">
        <v>36011</v>
      </c>
      <c r="G944" s="7">
        <f t="shared" ca="1" si="56"/>
        <v>27.758333333333333</v>
      </c>
      <c r="H944" s="7" t="s">
        <v>36</v>
      </c>
      <c r="I944" s="7" t="s">
        <v>25</v>
      </c>
      <c r="J944" s="7" t="s">
        <v>27</v>
      </c>
      <c r="K944" s="7" t="s">
        <v>21</v>
      </c>
      <c r="L944" s="8">
        <v>45666</v>
      </c>
      <c r="M944" s="7">
        <f t="shared" ca="1" si="57"/>
        <v>1.3277777777777777</v>
      </c>
      <c r="N944" s="7">
        <v>5717</v>
      </c>
      <c r="O944" s="7" t="str">
        <f t="shared" si="58"/>
        <v>يناير</v>
      </c>
      <c r="P944" s="7" t="str">
        <f t="shared" si="59"/>
        <v>راتب عالي</v>
      </c>
    </row>
    <row r="945" spans="1:16" x14ac:dyDescent="0.3">
      <c r="A945" s="9">
        <v>57949</v>
      </c>
      <c r="B945" s="9" t="s">
        <v>1923</v>
      </c>
      <c r="C945" s="9" t="s">
        <v>1924</v>
      </c>
      <c r="D945" s="9" t="s">
        <v>34</v>
      </c>
      <c r="E945" s="9" t="s">
        <v>35</v>
      </c>
      <c r="F945" s="10">
        <v>36678</v>
      </c>
      <c r="G945" s="7">
        <f t="shared" ca="1" si="56"/>
        <v>25.933333333333334</v>
      </c>
      <c r="H945" s="9" t="s">
        <v>36</v>
      </c>
      <c r="I945" s="9" t="s">
        <v>19</v>
      </c>
      <c r="J945" s="9" t="s">
        <v>31</v>
      </c>
      <c r="K945" s="9" t="s">
        <v>27</v>
      </c>
      <c r="L945" s="10">
        <v>45667</v>
      </c>
      <c r="M945" s="9">
        <f t="shared" ca="1" si="57"/>
        <v>1.325</v>
      </c>
      <c r="N945" s="9">
        <v>16042</v>
      </c>
      <c r="O945" s="9" t="str">
        <f t="shared" si="58"/>
        <v>يناير</v>
      </c>
      <c r="P945" s="7" t="str">
        <f t="shared" si="59"/>
        <v>راتب طبيعي</v>
      </c>
    </row>
    <row r="946" spans="1:16" x14ac:dyDescent="0.3">
      <c r="A946" s="7">
        <v>50685</v>
      </c>
      <c r="B946" s="7" t="s">
        <v>1925</v>
      </c>
      <c r="C946" s="7" t="s">
        <v>1926</v>
      </c>
      <c r="D946" s="7" t="s">
        <v>30</v>
      </c>
      <c r="E946" s="7" t="s">
        <v>17</v>
      </c>
      <c r="F946" s="8">
        <v>35693</v>
      </c>
      <c r="G946" s="7">
        <f t="shared" ca="1" si="56"/>
        <v>28.630555555555556</v>
      </c>
      <c r="H946" s="7" t="s">
        <v>36</v>
      </c>
      <c r="I946" s="7" t="s">
        <v>25</v>
      </c>
      <c r="J946" s="7" t="s">
        <v>20</v>
      </c>
      <c r="K946" s="7" t="s">
        <v>37</v>
      </c>
      <c r="L946" s="8">
        <v>45668</v>
      </c>
      <c r="M946" s="7">
        <f t="shared" ca="1" si="57"/>
        <v>1.3222222222222222</v>
      </c>
      <c r="N946" s="7">
        <v>6676</v>
      </c>
      <c r="O946" s="7" t="str">
        <f t="shared" si="58"/>
        <v>يناير</v>
      </c>
      <c r="P946" s="7" t="str">
        <f t="shared" si="59"/>
        <v>راتب طبيعي</v>
      </c>
    </row>
    <row r="947" spans="1:16" x14ac:dyDescent="0.3">
      <c r="A947" s="9">
        <v>54408</v>
      </c>
      <c r="B947" s="9" t="s">
        <v>1927</v>
      </c>
      <c r="C947" s="9" t="s">
        <v>1928</v>
      </c>
      <c r="D947" s="9" t="s">
        <v>34</v>
      </c>
      <c r="E947" s="9" t="s">
        <v>35</v>
      </c>
      <c r="F947" s="10">
        <v>33513</v>
      </c>
      <c r="G947" s="7">
        <f t="shared" ca="1" si="56"/>
        <v>34.597222222222221</v>
      </c>
      <c r="H947" s="9" t="s">
        <v>18</v>
      </c>
      <c r="I947" s="9" t="s">
        <v>25</v>
      </c>
      <c r="J947" s="9" t="s">
        <v>31</v>
      </c>
      <c r="K947" s="9" t="s">
        <v>20</v>
      </c>
      <c r="L947" s="10">
        <v>45669</v>
      </c>
      <c r="M947" s="9">
        <f t="shared" ca="1" si="57"/>
        <v>1.3194444444444444</v>
      </c>
      <c r="N947" s="9">
        <v>3921</v>
      </c>
      <c r="O947" s="9" t="str">
        <f t="shared" si="58"/>
        <v>يناير</v>
      </c>
      <c r="P947" s="7" t="str">
        <f t="shared" si="59"/>
        <v>راتب عالي</v>
      </c>
    </row>
    <row r="948" spans="1:16" x14ac:dyDescent="0.3">
      <c r="A948" s="7">
        <v>58827</v>
      </c>
      <c r="B948" s="7" t="s">
        <v>1929</v>
      </c>
      <c r="C948" s="7" t="s">
        <v>1930</v>
      </c>
      <c r="D948" s="7" t="s">
        <v>40</v>
      </c>
      <c r="E948" s="7" t="s">
        <v>35</v>
      </c>
      <c r="F948" s="8">
        <v>31664</v>
      </c>
      <c r="G948" s="7">
        <f t="shared" ca="1" si="56"/>
        <v>39.661111111111111</v>
      </c>
      <c r="H948" s="7" t="s">
        <v>36</v>
      </c>
      <c r="I948" s="7" t="s">
        <v>25</v>
      </c>
      <c r="J948" s="7" t="s">
        <v>31</v>
      </c>
      <c r="K948" s="7" t="s">
        <v>31</v>
      </c>
      <c r="L948" s="8">
        <v>45670</v>
      </c>
      <c r="M948" s="7">
        <f t="shared" ca="1" si="57"/>
        <v>1.3166666666666667</v>
      </c>
      <c r="N948" s="7">
        <v>3324</v>
      </c>
      <c r="O948" s="7" t="str">
        <f t="shared" si="58"/>
        <v>يناير</v>
      </c>
      <c r="P948" s="7" t="str">
        <f t="shared" si="59"/>
        <v>راتب عالي</v>
      </c>
    </row>
    <row r="949" spans="1:16" x14ac:dyDescent="0.3">
      <c r="A949" s="9">
        <v>58988</v>
      </c>
      <c r="B949" s="9" t="s">
        <v>1931</v>
      </c>
      <c r="C949" s="9" t="s">
        <v>1932</v>
      </c>
      <c r="D949" s="9" t="s">
        <v>43</v>
      </c>
      <c r="E949" s="9" t="s">
        <v>17</v>
      </c>
      <c r="F949" s="10">
        <v>36239</v>
      </c>
      <c r="G949" s="7">
        <f t="shared" ca="1" si="56"/>
        <v>27.130555555555556</v>
      </c>
      <c r="H949" s="9" t="s">
        <v>36</v>
      </c>
      <c r="I949" s="9" t="s">
        <v>25</v>
      </c>
      <c r="J949" s="9" t="s">
        <v>21</v>
      </c>
      <c r="K949" s="9" t="s">
        <v>20</v>
      </c>
      <c r="L949" s="10">
        <v>45671</v>
      </c>
      <c r="M949" s="9">
        <f t="shared" ca="1" si="57"/>
        <v>1.3138888888888889</v>
      </c>
      <c r="N949" s="9">
        <v>3973</v>
      </c>
      <c r="O949" s="9" t="str">
        <f t="shared" si="58"/>
        <v>يناير</v>
      </c>
      <c r="P949" s="7" t="str">
        <f t="shared" si="59"/>
        <v>راتب عالي</v>
      </c>
    </row>
    <row r="950" spans="1:16" x14ac:dyDescent="0.3">
      <c r="A950" s="7">
        <v>55990</v>
      </c>
      <c r="B950" s="7" t="s">
        <v>1933</v>
      </c>
      <c r="C950" s="7" t="s">
        <v>1934</v>
      </c>
      <c r="D950" s="7" t="s">
        <v>146</v>
      </c>
      <c r="E950" s="7" t="s">
        <v>35</v>
      </c>
      <c r="F950" s="8">
        <v>36581</v>
      </c>
      <c r="G950" s="7">
        <f t="shared" ca="1" si="56"/>
        <v>26.2</v>
      </c>
      <c r="H950" s="7" t="s">
        <v>18</v>
      </c>
      <c r="I950" s="7" t="s">
        <v>46</v>
      </c>
      <c r="J950" s="7" t="s">
        <v>21</v>
      </c>
      <c r="K950" s="7" t="s">
        <v>20</v>
      </c>
      <c r="L950" s="8">
        <v>45672</v>
      </c>
      <c r="M950" s="7">
        <f t="shared" ca="1" si="57"/>
        <v>1.3111111111111111</v>
      </c>
      <c r="N950" s="7">
        <v>13787</v>
      </c>
      <c r="O950" s="7" t="str">
        <f t="shared" si="58"/>
        <v>يناير</v>
      </c>
      <c r="P950" s="7" t="str">
        <f t="shared" si="59"/>
        <v>راتب طبيعي</v>
      </c>
    </row>
    <row r="951" spans="1:16" x14ac:dyDescent="0.3">
      <c r="A951" s="9">
        <v>57432</v>
      </c>
      <c r="B951" s="9" t="s">
        <v>1935</v>
      </c>
      <c r="C951" s="9" t="s">
        <v>1936</v>
      </c>
      <c r="D951" s="9" t="s">
        <v>40</v>
      </c>
      <c r="E951" s="9" t="s">
        <v>35</v>
      </c>
      <c r="F951" s="10">
        <v>34933</v>
      </c>
      <c r="G951" s="7">
        <f t="shared" ca="1" si="56"/>
        <v>30.708333333333332</v>
      </c>
      <c r="H951" s="9" t="s">
        <v>18</v>
      </c>
      <c r="I951" s="9" t="s">
        <v>25</v>
      </c>
      <c r="J951" s="9" t="s">
        <v>26</v>
      </c>
      <c r="K951" s="9" t="s">
        <v>26</v>
      </c>
      <c r="L951" s="10">
        <v>45673</v>
      </c>
      <c r="M951" s="9">
        <f t="shared" ca="1" si="57"/>
        <v>1.3083333333333333</v>
      </c>
      <c r="N951" s="9">
        <v>6312</v>
      </c>
      <c r="O951" s="9" t="str">
        <f t="shared" si="58"/>
        <v>يناير</v>
      </c>
      <c r="P951" s="7" t="str">
        <f t="shared" si="59"/>
        <v>راتب طبيعي</v>
      </c>
    </row>
    <row r="952" spans="1:16" x14ac:dyDescent="0.3">
      <c r="A952" s="7">
        <v>57913</v>
      </c>
      <c r="B952" s="7" t="s">
        <v>1937</v>
      </c>
      <c r="C952" s="7" t="s">
        <v>1938</v>
      </c>
      <c r="D952" s="7" t="s">
        <v>40</v>
      </c>
      <c r="E952" s="7" t="s">
        <v>17</v>
      </c>
      <c r="F952" s="8">
        <v>34533</v>
      </c>
      <c r="G952" s="7">
        <f t="shared" ca="1" si="56"/>
        <v>31.802777777777777</v>
      </c>
      <c r="H952" s="7" t="s">
        <v>18</v>
      </c>
      <c r="I952" s="7" t="s">
        <v>25</v>
      </c>
      <c r="J952" s="7" t="s">
        <v>31</v>
      </c>
      <c r="K952" s="7" t="s">
        <v>26</v>
      </c>
      <c r="L952" s="8">
        <v>45674</v>
      </c>
      <c r="M952" s="7">
        <f t="shared" ca="1" si="57"/>
        <v>1.3055555555555556</v>
      </c>
      <c r="N952" s="7">
        <v>6363</v>
      </c>
      <c r="O952" s="7" t="str">
        <f t="shared" si="58"/>
        <v>يناير</v>
      </c>
      <c r="P952" s="7" t="str">
        <f t="shared" si="59"/>
        <v>راتب طبيعي</v>
      </c>
    </row>
    <row r="953" spans="1:16" x14ac:dyDescent="0.3">
      <c r="A953" s="9">
        <v>55511</v>
      </c>
      <c r="B953" s="9" t="s">
        <v>1939</v>
      </c>
      <c r="C953" s="9" t="s">
        <v>1940</v>
      </c>
      <c r="D953" s="9" t="s">
        <v>66</v>
      </c>
      <c r="E953" s="9" t="s">
        <v>35</v>
      </c>
      <c r="F953" s="10">
        <v>35456</v>
      </c>
      <c r="G953" s="7">
        <f t="shared" ca="1" si="56"/>
        <v>29.280555555555555</v>
      </c>
      <c r="H953" s="9" t="s">
        <v>18</v>
      </c>
      <c r="I953" s="9" t="s">
        <v>19</v>
      </c>
      <c r="J953" s="9" t="s">
        <v>27</v>
      </c>
      <c r="K953" s="9" t="s">
        <v>37</v>
      </c>
      <c r="L953" s="10">
        <v>45675</v>
      </c>
      <c r="M953" s="9">
        <f t="shared" ca="1" si="57"/>
        <v>1.3027777777777778</v>
      </c>
      <c r="N953" s="9">
        <v>28316</v>
      </c>
      <c r="O953" s="9" t="str">
        <f t="shared" si="58"/>
        <v>يناير</v>
      </c>
      <c r="P953" s="7" t="str">
        <f t="shared" si="59"/>
        <v>راتب طبيعي</v>
      </c>
    </row>
    <row r="954" spans="1:16" x14ac:dyDescent="0.3">
      <c r="A954" s="7">
        <v>51532</v>
      </c>
      <c r="B954" s="7" t="s">
        <v>1941</v>
      </c>
      <c r="C954" s="7" t="s">
        <v>1942</v>
      </c>
      <c r="D954" s="7" t="s">
        <v>53</v>
      </c>
      <c r="E954" s="7" t="s">
        <v>17</v>
      </c>
      <c r="F954" s="8">
        <v>35466</v>
      </c>
      <c r="G954" s="7">
        <f t="shared" ca="1" si="56"/>
        <v>29.255555555555556</v>
      </c>
      <c r="H954" s="7" t="s">
        <v>18</v>
      </c>
      <c r="I954" s="7" t="s">
        <v>25</v>
      </c>
      <c r="J954" s="7" t="s">
        <v>21</v>
      </c>
      <c r="K954" s="7" t="s">
        <v>37</v>
      </c>
      <c r="L954" s="8">
        <v>45676</v>
      </c>
      <c r="M954" s="7">
        <f t="shared" ca="1" si="57"/>
        <v>1.3</v>
      </c>
      <c r="N954" s="7">
        <v>3932</v>
      </c>
      <c r="O954" s="7" t="str">
        <f t="shared" si="58"/>
        <v>يناير</v>
      </c>
      <c r="P954" s="7" t="str">
        <f t="shared" si="59"/>
        <v>راتب عالي</v>
      </c>
    </row>
    <row r="955" spans="1:16" x14ac:dyDescent="0.3">
      <c r="A955" s="9">
        <v>58884</v>
      </c>
      <c r="B955" s="9" t="s">
        <v>1943</v>
      </c>
      <c r="C955" s="9" t="s">
        <v>1944</v>
      </c>
      <c r="D955" s="9" t="s">
        <v>95</v>
      </c>
      <c r="E955" s="9" t="s">
        <v>17</v>
      </c>
      <c r="F955" s="10">
        <v>37222</v>
      </c>
      <c r="G955" s="7">
        <f t="shared" ca="1" si="56"/>
        <v>24.444444444444443</v>
      </c>
      <c r="H955" s="9" t="s">
        <v>18</v>
      </c>
      <c r="I955" s="9" t="s">
        <v>25</v>
      </c>
      <c r="J955" s="9" t="s">
        <v>31</v>
      </c>
      <c r="K955" s="9" t="s">
        <v>37</v>
      </c>
      <c r="L955" s="10">
        <v>45677</v>
      </c>
      <c r="M955" s="9">
        <f t="shared" ca="1" si="57"/>
        <v>1.2972222222222223</v>
      </c>
      <c r="N955" s="9">
        <v>4777</v>
      </c>
      <c r="O955" s="9" t="str">
        <f t="shared" si="58"/>
        <v>يناير</v>
      </c>
      <c r="P955" s="7" t="str">
        <f t="shared" si="59"/>
        <v>راتب عالي</v>
      </c>
    </row>
    <row r="956" spans="1:16" x14ac:dyDescent="0.3">
      <c r="A956" s="7">
        <v>54747</v>
      </c>
      <c r="B956" s="7" t="s">
        <v>1945</v>
      </c>
      <c r="C956" s="7" t="s">
        <v>1946</v>
      </c>
      <c r="D956" s="7" t="s">
        <v>53</v>
      </c>
      <c r="E956" s="7" t="s">
        <v>17</v>
      </c>
      <c r="F956" s="8">
        <v>34228</v>
      </c>
      <c r="G956" s="7">
        <f t="shared" ca="1" si="56"/>
        <v>32.641666666666666</v>
      </c>
      <c r="H956" s="7" t="s">
        <v>18</v>
      </c>
      <c r="I956" s="7" t="s">
        <v>25</v>
      </c>
      <c r="J956" s="7" t="s">
        <v>27</v>
      </c>
      <c r="K956" s="7" t="s">
        <v>27</v>
      </c>
      <c r="L956" s="8">
        <v>45678</v>
      </c>
      <c r="M956" s="7">
        <f t="shared" ca="1" si="57"/>
        <v>1.2944444444444445</v>
      </c>
      <c r="N956" s="7">
        <v>4406</v>
      </c>
      <c r="O956" s="7" t="str">
        <f t="shared" si="58"/>
        <v>يناير</v>
      </c>
      <c r="P956" s="7" t="str">
        <f t="shared" si="59"/>
        <v>راتب عالي</v>
      </c>
    </row>
    <row r="957" spans="1:16" x14ac:dyDescent="0.3">
      <c r="A957" s="9">
        <v>51471</v>
      </c>
      <c r="B957" s="9" t="s">
        <v>1947</v>
      </c>
      <c r="C957" s="9" t="s">
        <v>1948</v>
      </c>
      <c r="D957" s="9" t="s">
        <v>34</v>
      </c>
      <c r="E957" s="9" t="s">
        <v>35</v>
      </c>
      <c r="F957" s="10">
        <v>31996</v>
      </c>
      <c r="G957" s="7">
        <f t="shared" ca="1" si="56"/>
        <v>38.75</v>
      </c>
      <c r="H957" s="9" t="s">
        <v>18</v>
      </c>
      <c r="I957" s="9" t="s">
        <v>25</v>
      </c>
      <c r="J957" s="9" t="s">
        <v>21</v>
      </c>
      <c r="K957" s="9" t="s">
        <v>26</v>
      </c>
      <c r="L957" s="10">
        <v>45679</v>
      </c>
      <c r="M957" s="9">
        <f t="shared" ca="1" si="57"/>
        <v>1.2916666666666667</v>
      </c>
      <c r="N957" s="9">
        <v>6782</v>
      </c>
      <c r="O957" s="9" t="str">
        <f t="shared" si="58"/>
        <v>يناير</v>
      </c>
      <c r="P957" s="7" t="str">
        <f t="shared" si="59"/>
        <v>راتب طبيعي</v>
      </c>
    </row>
    <row r="958" spans="1:16" x14ac:dyDescent="0.3">
      <c r="A958" s="7">
        <v>53632</v>
      </c>
      <c r="B958" s="7" t="s">
        <v>1949</v>
      </c>
      <c r="C958" s="7" t="s">
        <v>1950</v>
      </c>
      <c r="D958" s="7" t="s">
        <v>34</v>
      </c>
      <c r="E958" s="7" t="s">
        <v>35</v>
      </c>
      <c r="F958" s="8">
        <v>35011</v>
      </c>
      <c r="G958" s="7">
        <f t="shared" ca="1" si="56"/>
        <v>30.497222222222224</v>
      </c>
      <c r="H958" s="7" t="s">
        <v>36</v>
      </c>
      <c r="I958" s="7" t="s">
        <v>25</v>
      </c>
      <c r="J958" s="7" t="s">
        <v>21</v>
      </c>
      <c r="K958" s="7" t="s">
        <v>21</v>
      </c>
      <c r="L958" s="8">
        <v>45680</v>
      </c>
      <c r="M958" s="7">
        <f t="shared" ca="1" si="57"/>
        <v>1.288888888888889</v>
      </c>
      <c r="N958" s="7">
        <v>4337</v>
      </c>
      <c r="O958" s="7" t="str">
        <f t="shared" si="58"/>
        <v>يناير</v>
      </c>
      <c r="P958" s="7" t="str">
        <f t="shared" si="59"/>
        <v>راتب عالي</v>
      </c>
    </row>
    <row r="959" spans="1:16" x14ac:dyDescent="0.3">
      <c r="A959" s="9">
        <v>56888</v>
      </c>
      <c r="B959" s="9" t="s">
        <v>1951</v>
      </c>
      <c r="C959" s="9" t="s">
        <v>1952</v>
      </c>
      <c r="D959" s="9" t="s">
        <v>53</v>
      </c>
      <c r="E959" s="9" t="s">
        <v>17</v>
      </c>
      <c r="F959" s="10">
        <v>37897</v>
      </c>
      <c r="G959" s="7">
        <f t="shared" ca="1" si="56"/>
        <v>22.594444444444445</v>
      </c>
      <c r="H959" s="9" t="s">
        <v>36</v>
      </c>
      <c r="I959" s="9" t="s">
        <v>46</v>
      </c>
      <c r="J959" s="9" t="s">
        <v>31</v>
      </c>
      <c r="K959" s="9" t="s">
        <v>26</v>
      </c>
      <c r="L959" s="10">
        <v>45681</v>
      </c>
      <c r="M959" s="9">
        <f t="shared" ca="1" si="57"/>
        <v>1.2861111111111112</v>
      </c>
      <c r="N959" s="9">
        <v>10944</v>
      </c>
      <c r="O959" s="9" t="str">
        <f t="shared" si="58"/>
        <v>يناير</v>
      </c>
      <c r="P959" s="7" t="str">
        <f t="shared" si="59"/>
        <v>راتب طبيعي</v>
      </c>
    </row>
    <row r="960" spans="1:16" x14ac:dyDescent="0.3">
      <c r="A960" s="7">
        <v>56443</v>
      </c>
      <c r="B960" s="7" t="s">
        <v>1953</v>
      </c>
      <c r="C960" s="7" t="s">
        <v>1954</v>
      </c>
      <c r="D960" s="7" t="s">
        <v>40</v>
      </c>
      <c r="E960" s="7" t="s">
        <v>17</v>
      </c>
      <c r="F960" s="8">
        <v>35623</v>
      </c>
      <c r="G960" s="7">
        <f t="shared" ca="1" si="56"/>
        <v>28.819444444444443</v>
      </c>
      <c r="H960" s="7" t="s">
        <v>36</v>
      </c>
      <c r="I960" s="7" t="s">
        <v>25</v>
      </c>
      <c r="J960" s="7" t="s">
        <v>21</v>
      </c>
      <c r="K960" s="7" t="s">
        <v>26</v>
      </c>
      <c r="L960" s="8">
        <v>45682</v>
      </c>
      <c r="M960" s="7">
        <f t="shared" ca="1" si="57"/>
        <v>1.2833333333333334</v>
      </c>
      <c r="N960" s="7">
        <v>4427</v>
      </c>
      <c r="O960" s="7" t="str">
        <f t="shared" si="58"/>
        <v>يناير</v>
      </c>
      <c r="P960" s="7" t="str">
        <f t="shared" si="59"/>
        <v>راتب عالي</v>
      </c>
    </row>
    <row r="961" spans="1:16" x14ac:dyDescent="0.3">
      <c r="A961" s="9">
        <v>55786</v>
      </c>
      <c r="B961" s="9" t="s">
        <v>1955</v>
      </c>
      <c r="C961" s="9" t="s">
        <v>1956</v>
      </c>
      <c r="D961" s="9" t="s">
        <v>95</v>
      </c>
      <c r="E961" s="9" t="s">
        <v>17</v>
      </c>
      <c r="F961" s="10">
        <v>30625</v>
      </c>
      <c r="G961" s="7">
        <f t="shared" ca="1" si="56"/>
        <v>42.505555555555553</v>
      </c>
      <c r="H961" s="9" t="s">
        <v>36</v>
      </c>
      <c r="I961" s="9" t="s">
        <v>46</v>
      </c>
      <c r="J961" s="9" t="s">
        <v>20</v>
      </c>
      <c r="K961" s="9" t="s">
        <v>31</v>
      </c>
      <c r="L961" s="10">
        <v>45683</v>
      </c>
      <c r="M961" s="9">
        <f t="shared" ca="1" si="57"/>
        <v>1.2805555555555554</v>
      </c>
      <c r="N961" s="9">
        <v>13504</v>
      </c>
      <c r="O961" s="9" t="str">
        <f t="shared" si="58"/>
        <v>يناير</v>
      </c>
      <c r="P961" s="7" t="str">
        <f t="shared" si="59"/>
        <v>راتب طبيعي</v>
      </c>
    </row>
    <row r="962" spans="1:16" x14ac:dyDescent="0.3">
      <c r="A962" s="7">
        <v>50906</v>
      </c>
      <c r="B962" s="7" t="s">
        <v>1957</v>
      </c>
      <c r="C962" s="7" t="s">
        <v>1958</v>
      </c>
      <c r="D962" s="7" t="s">
        <v>53</v>
      </c>
      <c r="E962" s="7" t="s">
        <v>17</v>
      </c>
      <c r="F962" s="8">
        <v>30183</v>
      </c>
      <c r="G962" s="7">
        <f t="shared" ca="1" si="56"/>
        <v>43.713888888888889</v>
      </c>
      <c r="H962" s="7" t="s">
        <v>18</v>
      </c>
      <c r="I962" s="7" t="s">
        <v>25</v>
      </c>
      <c r="J962" s="7" t="s">
        <v>20</v>
      </c>
      <c r="K962" s="7" t="s">
        <v>31</v>
      </c>
      <c r="L962" s="8">
        <v>45684</v>
      </c>
      <c r="M962" s="7">
        <f t="shared" ca="1" si="57"/>
        <v>1.2777777777777777</v>
      </c>
      <c r="N962" s="7">
        <v>5209</v>
      </c>
      <c r="O962" s="7" t="str">
        <f t="shared" si="58"/>
        <v>يناير</v>
      </c>
      <c r="P962" s="7" t="str">
        <f t="shared" si="59"/>
        <v>راتب عالي</v>
      </c>
    </row>
    <row r="963" spans="1:16" x14ac:dyDescent="0.3">
      <c r="A963" s="9">
        <v>52909</v>
      </c>
      <c r="B963" s="9" t="s">
        <v>1959</v>
      </c>
      <c r="C963" s="9" t="s">
        <v>1960</v>
      </c>
      <c r="D963" s="9" t="s">
        <v>40</v>
      </c>
      <c r="E963" s="9" t="s">
        <v>35</v>
      </c>
      <c r="F963" s="10">
        <v>37846</v>
      </c>
      <c r="G963" s="7">
        <f t="shared" ref="G963:G1001" ca="1" si="60">YEARFRAC(F963,TODAY())</f>
        <v>22.733333333333334</v>
      </c>
      <c r="H963" s="9" t="s">
        <v>36</v>
      </c>
      <c r="I963" s="9" t="s">
        <v>46</v>
      </c>
      <c r="J963" s="9" t="s">
        <v>26</v>
      </c>
      <c r="K963" s="9" t="s">
        <v>31</v>
      </c>
      <c r="L963" s="10">
        <v>45685</v>
      </c>
      <c r="M963" s="9">
        <f t="shared" ref="M963:M1001" ca="1" si="61">YEARFRAC(L963,TODAY())</f>
        <v>1.2749999999999999</v>
      </c>
      <c r="N963" s="9">
        <v>11203</v>
      </c>
      <c r="O963" s="9" t="str">
        <f t="shared" ref="O963:O1001" si="62">TEXT(L963,"mmm")</f>
        <v>يناير</v>
      </c>
      <c r="P963" s="7" t="str">
        <f t="shared" ref="P963:P1001" si="63">IF(N963&gt;=S$10,"راتب طبيعي","راتب عالي")</f>
        <v>راتب طبيعي</v>
      </c>
    </row>
    <row r="964" spans="1:16" x14ac:dyDescent="0.3">
      <c r="A964" s="7">
        <v>56134</v>
      </c>
      <c r="B964" s="7" t="s">
        <v>1961</v>
      </c>
      <c r="C964" s="7" t="s">
        <v>1962</v>
      </c>
      <c r="D964" s="7" t="s">
        <v>53</v>
      </c>
      <c r="E964" s="7" t="s">
        <v>35</v>
      </c>
      <c r="F964" s="8">
        <v>34619</v>
      </c>
      <c r="G964" s="7">
        <f t="shared" ca="1" si="60"/>
        <v>31.569444444444443</v>
      </c>
      <c r="H964" s="7" t="s">
        <v>18</v>
      </c>
      <c r="I964" s="7" t="s">
        <v>25</v>
      </c>
      <c r="J964" s="7" t="s">
        <v>26</v>
      </c>
      <c r="K964" s="7" t="s">
        <v>21</v>
      </c>
      <c r="L964" s="8">
        <v>45686</v>
      </c>
      <c r="M964" s="7">
        <f t="shared" ca="1" si="61"/>
        <v>1.2722222222222221</v>
      </c>
      <c r="N964" s="7">
        <v>3589</v>
      </c>
      <c r="O964" s="7" t="str">
        <f t="shared" si="62"/>
        <v>يناير</v>
      </c>
      <c r="P964" s="7" t="str">
        <f t="shared" si="63"/>
        <v>راتب عالي</v>
      </c>
    </row>
    <row r="965" spans="1:16" x14ac:dyDescent="0.3">
      <c r="A965" s="9">
        <v>50294</v>
      </c>
      <c r="B965" s="9" t="s">
        <v>1963</v>
      </c>
      <c r="C965" s="9" t="s">
        <v>1964</v>
      </c>
      <c r="D965" s="9" t="s">
        <v>95</v>
      </c>
      <c r="E965" s="9" t="s">
        <v>17</v>
      </c>
      <c r="F965" s="10">
        <v>37453</v>
      </c>
      <c r="G965" s="7">
        <f t="shared" ca="1" si="60"/>
        <v>23.808333333333334</v>
      </c>
      <c r="H965" s="9" t="s">
        <v>18</v>
      </c>
      <c r="I965" s="9" t="s">
        <v>46</v>
      </c>
      <c r="J965" s="9" t="s">
        <v>21</v>
      </c>
      <c r="K965" s="9" t="s">
        <v>21</v>
      </c>
      <c r="L965" s="10">
        <v>45687</v>
      </c>
      <c r="M965" s="9">
        <f t="shared" ca="1" si="61"/>
        <v>1.2694444444444444</v>
      </c>
      <c r="N965" s="9">
        <v>13007</v>
      </c>
      <c r="O965" s="9" t="str">
        <f t="shared" si="62"/>
        <v>يناير</v>
      </c>
      <c r="P965" s="7" t="str">
        <f t="shared" si="63"/>
        <v>راتب طبيعي</v>
      </c>
    </row>
    <row r="966" spans="1:16" x14ac:dyDescent="0.3">
      <c r="A966" s="7">
        <v>52620</v>
      </c>
      <c r="B966" s="7" t="s">
        <v>1965</v>
      </c>
      <c r="C966" s="7" t="s">
        <v>1966</v>
      </c>
      <c r="D966" s="7" t="s">
        <v>66</v>
      </c>
      <c r="E966" s="7" t="s">
        <v>17</v>
      </c>
      <c r="F966" s="8">
        <v>31757</v>
      </c>
      <c r="G966" s="7">
        <f t="shared" ca="1" si="60"/>
        <v>39.405555555555559</v>
      </c>
      <c r="H966" s="7" t="s">
        <v>36</v>
      </c>
      <c r="I966" s="7" t="s">
        <v>19</v>
      </c>
      <c r="J966" s="7" t="s">
        <v>21</v>
      </c>
      <c r="K966" s="7" t="s">
        <v>27</v>
      </c>
      <c r="L966" s="8">
        <v>45688</v>
      </c>
      <c r="M966" s="7">
        <f t="shared" ca="1" si="61"/>
        <v>1.2694444444444444</v>
      </c>
      <c r="N966" s="7">
        <v>28102</v>
      </c>
      <c r="O966" s="7" t="str">
        <f t="shared" si="62"/>
        <v>يناير</v>
      </c>
      <c r="P966" s="7" t="str">
        <f t="shared" si="63"/>
        <v>راتب طبيعي</v>
      </c>
    </row>
    <row r="967" spans="1:16" x14ac:dyDescent="0.3">
      <c r="A967" s="9">
        <v>54418</v>
      </c>
      <c r="B967" s="9" t="s">
        <v>1967</v>
      </c>
      <c r="C967" s="9" t="s">
        <v>1968</v>
      </c>
      <c r="D967" s="9" t="s">
        <v>34</v>
      </c>
      <c r="E967" s="9" t="s">
        <v>17</v>
      </c>
      <c r="F967" s="10">
        <v>37846</v>
      </c>
      <c r="G967" s="7">
        <f t="shared" ca="1" si="60"/>
        <v>22.733333333333334</v>
      </c>
      <c r="H967" s="9" t="s">
        <v>36</v>
      </c>
      <c r="I967" s="9" t="s">
        <v>25</v>
      </c>
      <c r="J967" s="9" t="s">
        <v>27</v>
      </c>
      <c r="K967" s="9" t="s">
        <v>37</v>
      </c>
      <c r="L967" s="10">
        <v>45689</v>
      </c>
      <c r="M967" s="9">
        <f t="shared" ca="1" si="61"/>
        <v>1.2666666666666666</v>
      </c>
      <c r="N967" s="9">
        <v>6448</v>
      </c>
      <c r="O967" s="9" t="str">
        <f t="shared" si="62"/>
        <v>فبراير</v>
      </c>
      <c r="P967" s="7" t="str">
        <f t="shared" si="63"/>
        <v>راتب طبيعي</v>
      </c>
    </row>
    <row r="968" spans="1:16" x14ac:dyDescent="0.3">
      <c r="A968" s="7">
        <v>54166</v>
      </c>
      <c r="B968" s="7" t="s">
        <v>1969</v>
      </c>
      <c r="C968" s="7" t="s">
        <v>1970</v>
      </c>
      <c r="D968" s="7" t="s">
        <v>43</v>
      </c>
      <c r="E968" s="7" t="s">
        <v>17</v>
      </c>
      <c r="F968" s="8">
        <v>36394</v>
      </c>
      <c r="G968" s="7">
        <f t="shared" ca="1" si="60"/>
        <v>26.708333333333332</v>
      </c>
      <c r="H968" s="7" t="s">
        <v>18</v>
      </c>
      <c r="I968" s="7" t="s">
        <v>25</v>
      </c>
      <c r="J968" s="7" t="s">
        <v>27</v>
      </c>
      <c r="K968" s="7" t="s">
        <v>27</v>
      </c>
      <c r="L968" s="8">
        <v>45690</v>
      </c>
      <c r="M968" s="7">
        <f t="shared" ca="1" si="61"/>
        <v>1.2638888888888888</v>
      </c>
      <c r="N968" s="7">
        <v>3209</v>
      </c>
      <c r="O968" s="7" t="str">
        <f t="shared" si="62"/>
        <v>فبراير</v>
      </c>
      <c r="P968" s="7" t="str">
        <f t="shared" si="63"/>
        <v>راتب عالي</v>
      </c>
    </row>
    <row r="969" spans="1:16" x14ac:dyDescent="0.3">
      <c r="A969" s="9">
        <v>55845</v>
      </c>
      <c r="B969" s="9" t="s">
        <v>1971</v>
      </c>
      <c r="C969" s="9" t="s">
        <v>1972</v>
      </c>
      <c r="D969" s="9" t="s">
        <v>53</v>
      </c>
      <c r="E969" s="9" t="s">
        <v>17</v>
      </c>
      <c r="F969" s="10">
        <v>36587</v>
      </c>
      <c r="G969" s="7">
        <f t="shared" ca="1" si="60"/>
        <v>26.180555555555557</v>
      </c>
      <c r="H969" s="9" t="s">
        <v>18</v>
      </c>
      <c r="I969" s="9" t="s">
        <v>25</v>
      </c>
      <c r="J969" s="9" t="s">
        <v>31</v>
      </c>
      <c r="K969" s="9" t="s">
        <v>37</v>
      </c>
      <c r="L969" s="10">
        <v>45691</v>
      </c>
      <c r="M969" s="9">
        <f t="shared" ca="1" si="61"/>
        <v>1.2611111111111111</v>
      </c>
      <c r="N969" s="9">
        <v>6453</v>
      </c>
      <c r="O969" s="9" t="str">
        <f t="shared" si="62"/>
        <v>فبراير</v>
      </c>
      <c r="P969" s="7" t="str">
        <f t="shared" si="63"/>
        <v>راتب طبيعي</v>
      </c>
    </row>
    <row r="970" spans="1:16" x14ac:dyDescent="0.3">
      <c r="A970" s="7">
        <v>53550</v>
      </c>
      <c r="B970" s="7" t="s">
        <v>1973</v>
      </c>
      <c r="C970" s="7" t="s">
        <v>1974</v>
      </c>
      <c r="D970" s="7" t="s">
        <v>146</v>
      </c>
      <c r="E970" s="7" t="s">
        <v>35</v>
      </c>
      <c r="F970" s="8">
        <v>35675</v>
      </c>
      <c r="G970" s="7">
        <f t="shared" ca="1" si="60"/>
        <v>28.680555555555557</v>
      </c>
      <c r="H970" s="7" t="s">
        <v>36</v>
      </c>
      <c r="I970" s="7" t="s">
        <v>25</v>
      </c>
      <c r="J970" s="7" t="s">
        <v>21</v>
      </c>
      <c r="K970" s="7" t="s">
        <v>26</v>
      </c>
      <c r="L970" s="8">
        <v>45692</v>
      </c>
      <c r="M970" s="7">
        <f t="shared" ca="1" si="61"/>
        <v>1.2583333333333333</v>
      </c>
      <c r="N970" s="7">
        <v>6051</v>
      </c>
      <c r="O970" s="7" t="str">
        <f t="shared" si="62"/>
        <v>فبراير</v>
      </c>
      <c r="P970" s="7" t="str">
        <f t="shared" si="63"/>
        <v>راتب طبيعي</v>
      </c>
    </row>
    <row r="971" spans="1:16" x14ac:dyDescent="0.3">
      <c r="A971" s="9">
        <v>53807</v>
      </c>
      <c r="B971" s="9" t="s">
        <v>1975</v>
      </c>
      <c r="C971" s="9" t="s">
        <v>1976</v>
      </c>
      <c r="D971" s="9" t="s">
        <v>66</v>
      </c>
      <c r="E971" s="9" t="s">
        <v>35</v>
      </c>
      <c r="F971" s="10">
        <v>36035</v>
      </c>
      <c r="G971" s="7">
        <f t="shared" ca="1" si="60"/>
        <v>27.691666666666666</v>
      </c>
      <c r="H971" s="9" t="s">
        <v>18</v>
      </c>
      <c r="I971" s="9" t="s">
        <v>25</v>
      </c>
      <c r="J971" s="9" t="s">
        <v>20</v>
      </c>
      <c r="K971" s="9" t="s">
        <v>27</v>
      </c>
      <c r="L971" s="10">
        <v>45693</v>
      </c>
      <c r="M971" s="9">
        <f t="shared" ca="1" si="61"/>
        <v>1.2555555555555555</v>
      </c>
      <c r="N971" s="9">
        <v>5116</v>
      </c>
      <c r="O971" s="9" t="str">
        <f t="shared" si="62"/>
        <v>فبراير</v>
      </c>
      <c r="P971" s="7" t="str">
        <f t="shared" si="63"/>
        <v>راتب عالي</v>
      </c>
    </row>
    <row r="972" spans="1:16" x14ac:dyDescent="0.3">
      <c r="A972" s="7">
        <v>51710</v>
      </c>
      <c r="B972" s="7" t="s">
        <v>1977</v>
      </c>
      <c r="C972" s="7" t="s">
        <v>1978</v>
      </c>
      <c r="D972" s="7" t="s">
        <v>34</v>
      </c>
      <c r="E972" s="7" t="s">
        <v>35</v>
      </c>
      <c r="F972" s="8">
        <v>33349</v>
      </c>
      <c r="G972" s="7">
        <f t="shared" ca="1" si="60"/>
        <v>35.044444444444444</v>
      </c>
      <c r="H972" s="7" t="s">
        <v>18</v>
      </c>
      <c r="I972" s="7" t="s">
        <v>19</v>
      </c>
      <c r="J972" s="7" t="s">
        <v>26</v>
      </c>
      <c r="K972" s="7" t="s">
        <v>21</v>
      </c>
      <c r="L972" s="8">
        <v>45694</v>
      </c>
      <c r="M972" s="7">
        <f t="shared" ca="1" si="61"/>
        <v>1.2527777777777778</v>
      </c>
      <c r="N972" s="7">
        <v>19934</v>
      </c>
      <c r="O972" s="7" t="str">
        <f t="shared" si="62"/>
        <v>فبراير</v>
      </c>
      <c r="P972" s="7" t="str">
        <f t="shared" si="63"/>
        <v>راتب طبيعي</v>
      </c>
    </row>
    <row r="973" spans="1:16" x14ac:dyDescent="0.3">
      <c r="A973" s="9">
        <v>57198</v>
      </c>
      <c r="B973" s="9" t="s">
        <v>1979</v>
      </c>
      <c r="C973" s="9" t="s">
        <v>1980</v>
      </c>
      <c r="D973" s="9" t="s">
        <v>30</v>
      </c>
      <c r="E973" s="9" t="s">
        <v>17</v>
      </c>
      <c r="F973" s="10">
        <v>33689</v>
      </c>
      <c r="G973" s="7">
        <f t="shared" ca="1" si="60"/>
        <v>34.113888888888887</v>
      </c>
      <c r="H973" s="9" t="s">
        <v>36</v>
      </c>
      <c r="I973" s="9" t="s">
        <v>25</v>
      </c>
      <c r="J973" s="9" t="s">
        <v>20</v>
      </c>
      <c r="K973" s="9" t="s">
        <v>27</v>
      </c>
      <c r="L973" s="10">
        <v>45695</v>
      </c>
      <c r="M973" s="9">
        <f t="shared" ca="1" si="61"/>
        <v>1.25</v>
      </c>
      <c r="N973" s="9">
        <v>6581</v>
      </c>
      <c r="O973" s="9" t="str">
        <f t="shared" si="62"/>
        <v>فبراير</v>
      </c>
      <c r="P973" s="7" t="str">
        <f t="shared" si="63"/>
        <v>راتب طبيعي</v>
      </c>
    </row>
    <row r="974" spans="1:16" x14ac:dyDescent="0.3">
      <c r="A974" s="7">
        <v>55043</v>
      </c>
      <c r="B974" s="7" t="s">
        <v>1981</v>
      </c>
      <c r="C974" s="7" t="s">
        <v>1982</v>
      </c>
      <c r="D974" s="7" t="s">
        <v>30</v>
      </c>
      <c r="E974" s="7" t="s">
        <v>17</v>
      </c>
      <c r="F974" s="8">
        <v>30120</v>
      </c>
      <c r="G974" s="7">
        <f t="shared" ca="1" si="60"/>
        <v>43.886111111111113</v>
      </c>
      <c r="H974" s="7" t="s">
        <v>18</v>
      </c>
      <c r="I974" s="7" t="s">
        <v>25</v>
      </c>
      <c r="J974" s="7" t="s">
        <v>21</v>
      </c>
      <c r="K974" s="7" t="s">
        <v>20</v>
      </c>
      <c r="L974" s="8">
        <v>45696</v>
      </c>
      <c r="M974" s="7">
        <f t="shared" ca="1" si="61"/>
        <v>1.2472222222222222</v>
      </c>
      <c r="N974" s="7">
        <v>3889</v>
      </c>
      <c r="O974" s="7" t="str">
        <f t="shared" si="62"/>
        <v>فبراير</v>
      </c>
      <c r="P974" s="7" t="str">
        <f t="shared" si="63"/>
        <v>راتب عالي</v>
      </c>
    </row>
    <row r="975" spans="1:16" x14ac:dyDescent="0.3">
      <c r="A975" s="9">
        <v>55197</v>
      </c>
      <c r="B975" s="9" t="s">
        <v>1983</v>
      </c>
      <c r="C975" s="9" t="s">
        <v>1984</v>
      </c>
      <c r="D975" s="9" t="s">
        <v>66</v>
      </c>
      <c r="E975" s="9" t="s">
        <v>35</v>
      </c>
      <c r="F975" s="10">
        <v>37585</v>
      </c>
      <c r="G975" s="7">
        <f t="shared" ca="1" si="60"/>
        <v>23.45</v>
      </c>
      <c r="H975" s="9" t="s">
        <v>18</v>
      </c>
      <c r="I975" s="9" t="s">
        <v>25</v>
      </c>
      <c r="J975" s="9" t="s">
        <v>31</v>
      </c>
      <c r="K975" s="9" t="s">
        <v>37</v>
      </c>
      <c r="L975" s="10">
        <v>45697</v>
      </c>
      <c r="M975" s="9">
        <f t="shared" ca="1" si="61"/>
        <v>1.2444444444444445</v>
      </c>
      <c r="N975" s="9">
        <v>4487</v>
      </c>
      <c r="O975" s="9" t="str">
        <f t="shared" si="62"/>
        <v>فبراير</v>
      </c>
      <c r="P975" s="7" t="str">
        <f t="shared" si="63"/>
        <v>راتب عالي</v>
      </c>
    </row>
    <row r="976" spans="1:16" x14ac:dyDescent="0.3">
      <c r="A976" s="7">
        <v>50989</v>
      </c>
      <c r="B976" s="7" t="s">
        <v>1985</v>
      </c>
      <c r="C976" s="7" t="s">
        <v>1986</v>
      </c>
      <c r="D976" s="7" t="s">
        <v>40</v>
      </c>
      <c r="E976" s="7" t="s">
        <v>17</v>
      </c>
      <c r="F976" s="8">
        <v>35437</v>
      </c>
      <c r="G976" s="7">
        <f t="shared" ca="1" si="60"/>
        <v>29.333333333333332</v>
      </c>
      <c r="H976" s="7" t="s">
        <v>18</v>
      </c>
      <c r="I976" s="7" t="s">
        <v>25</v>
      </c>
      <c r="J976" s="7" t="s">
        <v>21</v>
      </c>
      <c r="K976" s="7" t="s">
        <v>26</v>
      </c>
      <c r="L976" s="8">
        <v>45698</v>
      </c>
      <c r="M976" s="7">
        <f t="shared" ca="1" si="61"/>
        <v>1.2416666666666667</v>
      </c>
      <c r="N976" s="7">
        <v>4104</v>
      </c>
      <c r="O976" s="7" t="str">
        <f t="shared" si="62"/>
        <v>فبراير</v>
      </c>
      <c r="P976" s="7" t="str">
        <f t="shared" si="63"/>
        <v>راتب عالي</v>
      </c>
    </row>
    <row r="977" spans="1:16" x14ac:dyDescent="0.3">
      <c r="A977" s="9">
        <v>51238</v>
      </c>
      <c r="B977" s="9" t="s">
        <v>1987</v>
      </c>
      <c r="C977" s="9" t="s">
        <v>1988</v>
      </c>
      <c r="D977" s="9" t="s">
        <v>43</v>
      </c>
      <c r="E977" s="9" t="s">
        <v>35</v>
      </c>
      <c r="F977" s="10">
        <v>37067</v>
      </c>
      <c r="G977" s="7">
        <f t="shared" ca="1" si="60"/>
        <v>24.866666666666667</v>
      </c>
      <c r="H977" s="9" t="s">
        <v>18</v>
      </c>
      <c r="I977" s="9" t="s">
        <v>25</v>
      </c>
      <c r="J977" s="9" t="s">
        <v>27</v>
      </c>
      <c r="K977" s="9" t="s">
        <v>31</v>
      </c>
      <c r="L977" s="10">
        <v>45699</v>
      </c>
      <c r="M977" s="9">
        <f t="shared" ca="1" si="61"/>
        <v>1.2388888888888889</v>
      </c>
      <c r="N977" s="9">
        <v>6238</v>
      </c>
      <c r="O977" s="9" t="str">
        <f t="shared" si="62"/>
        <v>فبراير</v>
      </c>
      <c r="P977" s="7" t="str">
        <f t="shared" si="63"/>
        <v>راتب طبيعي</v>
      </c>
    </row>
    <row r="978" spans="1:16" x14ac:dyDescent="0.3">
      <c r="A978" s="7">
        <v>57378</v>
      </c>
      <c r="B978" s="7" t="s">
        <v>1989</v>
      </c>
      <c r="C978" s="7" t="s">
        <v>1990</v>
      </c>
      <c r="D978" s="7" t="s">
        <v>40</v>
      </c>
      <c r="E978" s="7" t="s">
        <v>17</v>
      </c>
      <c r="F978" s="8">
        <v>37765</v>
      </c>
      <c r="G978" s="7">
        <f t="shared" ca="1" si="60"/>
        <v>22.952777777777779</v>
      </c>
      <c r="H978" s="7" t="s">
        <v>18</v>
      </c>
      <c r="I978" s="7" t="s">
        <v>19</v>
      </c>
      <c r="J978" s="7" t="s">
        <v>26</v>
      </c>
      <c r="K978" s="7" t="s">
        <v>21</v>
      </c>
      <c r="L978" s="8">
        <v>45700</v>
      </c>
      <c r="M978" s="7">
        <f t="shared" ca="1" si="61"/>
        <v>1.2361111111111112</v>
      </c>
      <c r="N978" s="7">
        <v>15419</v>
      </c>
      <c r="O978" s="7" t="str">
        <f t="shared" si="62"/>
        <v>فبراير</v>
      </c>
      <c r="P978" s="7" t="str">
        <f t="shared" si="63"/>
        <v>راتب طبيعي</v>
      </c>
    </row>
    <row r="979" spans="1:16" x14ac:dyDescent="0.3">
      <c r="A979" s="9">
        <v>50089</v>
      </c>
      <c r="B979" s="9" t="s">
        <v>1991</v>
      </c>
      <c r="C979" s="9" t="s">
        <v>1992</v>
      </c>
      <c r="D979" s="9" t="s">
        <v>34</v>
      </c>
      <c r="E979" s="9" t="s">
        <v>17</v>
      </c>
      <c r="F979" s="10">
        <v>32980</v>
      </c>
      <c r="G979" s="7">
        <f t="shared" ca="1" si="60"/>
        <v>36.055555555555557</v>
      </c>
      <c r="H979" s="9" t="s">
        <v>36</v>
      </c>
      <c r="I979" s="9" t="s">
        <v>19</v>
      </c>
      <c r="J979" s="9" t="s">
        <v>27</v>
      </c>
      <c r="K979" s="9" t="s">
        <v>26</v>
      </c>
      <c r="L979" s="10">
        <v>45701</v>
      </c>
      <c r="M979" s="9">
        <f t="shared" ca="1" si="61"/>
        <v>1.2333333333333334</v>
      </c>
      <c r="N979" s="9">
        <v>28480</v>
      </c>
      <c r="O979" s="9" t="str">
        <f t="shared" si="62"/>
        <v>فبراير</v>
      </c>
      <c r="P979" s="7" t="str">
        <f t="shared" si="63"/>
        <v>راتب طبيعي</v>
      </c>
    </row>
    <row r="980" spans="1:16" x14ac:dyDescent="0.3">
      <c r="A980" s="7">
        <v>53085</v>
      </c>
      <c r="B980" s="7" t="s">
        <v>1993</v>
      </c>
      <c r="C980" s="7" t="s">
        <v>1994</v>
      </c>
      <c r="D980" s="7" t="s">
        <v>95</v>
      </c>
      <c r="E980" s="7" t="s">
        <v>35</v>
      </c>
      <c r="F980" s="8">
        <v>30882</v>
      </c>
      <c r="G980" s="7">
        <f t="shared" ca="1" si="60"/>
        <v>41.8</v>
      </c>
      <c r="H980" s="7" t="s">
        <v>36</v>
      </c>
      <c r="I980" s="7" t="s">
        <v>25</v>
      </c>
      <c r="J980" s="7" t="s">
        <v>31</v>
      </c>
      <c r="K980" s="7" t="s">
        <v>21</v>
      </c>
      <c r="L980" s="8">
        <v>45702</v>
      </c>
      <c r="M980" s="7">
        <f t="shared" ca="1" si="61"/>
        <v>1.2305555555555556</v>
      </c>
      <c r="N980" s="7">
        <v>6088</v>
      </c>
      <c r="O980" s="7" t="str">
        <f t="shared" si="62"/>
        <v>فبراير</v>
      </c>
      <c r="P980" s="7" t="str">
        <f t="shared" si="63"/>
        <v>راتب طبيعي</v>
      </c>
    </row>
    <row r="981" spans="1:16" x14ac:dyDescent="0.3">
      <c r="A981" s="9">
        <v>52688</v>
      </c>
      <c r="B981" s="9" t="s">
        <v>1995</v>
      </c>
      <c r="C981" s="9" t="s">
        <v>1996</v>
      </c>
      <c r="D981" s="9" t="s">
        <v>16</v>
      </c>
      <c r="E981" s="9" t="s">
        <v>17</v>
      </c>
      <c r="F981" s="10">
        <v>31114</v>
      </c>
      <c r="G981" s="7">
        <f t="shared" ca="1" si="60"/>
        <v>41.163888888888891</v>
      </c>
      <c r="H981" s="9" t="s">
        <v>18</v>
      </c>
      <c r="I981" s="9" t="s">
        <v>25</v>
      </c>
      <c r="J981" s="9" t="s">
        <v>20</v>
      </c>
      <c r="K981" s="9" t="s">
        <v>27</v>
      </c>
      <c r="L981" s="10">
        <v>45703</v>
      </c>
      <c r="M981" s="9">
        <f t="shared" ca="1" si="61"/>
        <v>1.2277777777777779</v>
      </c>
      <c r="N981" s="9">
        <v>4406</v>
      </c>
      <c r="O981" s="9" t="str">
        <f t="shared" si="62"/>
        <v>فبراير</v>
      </c>
      <c r="P981" s="7" t="str">
        <f t="shared" si="63"/>
        <v>راتب عالي</v>
      </c>
    </row>
    <row r="982" spans="1:16" x14ac:dyDescent="0.3">
      <c r="A982" s="7">
        <v>51681</v>
      </c>
      <c r="B982" s="7" t="s">
        <v>1997</v>
      </c>
      <c r="C982" s="7" t="s">
        <v>1998</v>
      </c>
      <c r="D982" s="7" t="s">
        <v>40</v>
      </c>
      <c r="E982" s="7" t="s">
        <v>17</v>
      </c>
      <c r="F982" s="8">
        <v>36405</v>
      </c>
      <c r="G982" s="7">
        <f t="shared" ca="1" si="60"/>
        <v>26.680555555555557</v>
      </c>
      <c r="H982" s="7" t="s">
        <v>18</v>
      </c>
      <c r="I982" s="7" t="s">
        <v>25</v>
      </c>
      <c r="J982" s="7" t="s">
        <v>27</v>
      </c>
      <c r="K982" s="7" t="s">
        <v>27</v>
      </c>
      <c r="L982" s="8">
        <v>45704</v>
      </c>
      <c r="M982" s="7">
        <f t="shared" ca="1" si="61"/>
        <v>1.2250000000000001</v>
      </c>
      <c r="N982" s="7">
        <v>3300</v>
      </c>
      <c r="O982" s="7" t="str">
        <f t="shared" si="62"/>
        <v>فبراير</v>
      </c>
      <c r="P982" s="7" t="str">
        <f t="shared" si="63"/>
        <v>راتب عالي</v>
      </c>
    </row>
    <row r="983" spans="1:16" x14ac:dyDescent="0.3">
      <c r="A983" s="9">
        <v>51389</v>
      </c>
      <c r="B983" s="9" t="s">
        <v>1999</v>
      </c>
      <c r="C983" s="9" t="s">
        <v>2000</v>
      </c>
      <c r="D983" s="9" t="s">
        <v>40</v>
      </c>
      <c r="E983" s="9" t="s">
        <v>17</v>
      </c>
      <c r="F983" s="10">
        <v>33706</v>
      </c>
      <c r="G983" s="7">
        <f t="shared" ca="1" si="60"/>
        <v>34.069444444444443</v>
      </c>
      <c r="H983" s="9" t="s">
        <v>18</v>
      </c>
      <c r="I983" s="9" t="s">
        <v>25</v>
      </c>
      <c r="J983" s="9" t="s">
        <v>20</v>
      </c>
      <c r="K983" s="9" t="s">
        <v>26</v>
      </c>
      <c r="L983" s="10">
        <v>45705</v>
      </c>
      <c r="M983" s="9">
        <f t="shared" ca="1" si="61"/>
        <v>1.2222222222222223</v>
      </c>
      <c r="N983" s="9">
        <v>5069</v>
      </c>
      <c r="O983" s="9" t="str">
        <f t="shared" si="62"/>
        <v>فبراير</v>
      </c>
      <c r="P983" s="7" t="str">
        <f t="shared" si="63"/>
        <v>راتب عالي</v>
      </c>
    </row>
    <row r="984" spans="1:16" x14ac:dyDescent="0.3">
      <c r="A984" s="7">
        <v>51545</v>
      </c>
      <c r="B984" s="7" t="s">
        <v>2001</v>
      </c>
      <c r="C984" s="7" t="s">
        <v>2002</v>
      </c>
      <c r="D984" s="7" t="s">
        <v>34</v>
      </c>
      <c r="E984" s="7" t="s">
        <v>35</v>
      </c>
      <c r="F984" s="8">
        <v>35432</v>
      </c>
      <c r="G984" s="7">
        <f t="shared" ca="1" si="60"/>
        <v>29.347222222222221</v>
      </c>
      <c r="H984" s="7" t="s">
        <v>18</v>
      </c>
      <c r="I984" s="7" t="s">
        <v>19</v>
      </c>
      <c r="J984" s="7" t="s">
        <v>21</v>
      </c>
      <c r="K984" s="7" t="s">
        <v>21</v>
      </c>
      <c r="L984" s="8">
        <v>45706</v>
      </c>
      <c r="M984" s="7">
        <f t="shared" ca="1" si="61"/>
        <v>1.2194444444444446</v>
      </c>
      <c r="N984" s="7">
        <v>23212</v>
      </c>
      <c r="O984" s="7" t="str">
        <f t="shared" si="62"/>
        <v>فبراير</v>
      </c>
      <c r="P984" s="7" t="str">
        <f t="shared" si="63"/>
        <v>راتب طبيعي</v>
      </c>
    </row>
    <row r="985" spans="1:16" x14ac:dyDescent="0.3">
      <c r="A985" s="9">
        <v>58099</v>
      </c>
      <c r="B985" s="9" t="s">
        <v>2003</v>
      </c>
      <c r="C985" s="9" t="s">
        <v>2004</v>
      </c>
      <c r="D985" s="9" t="s">
        <v>66</v>
      </c>
      <c r="E985" s="9" t="s">
        <v>17</v>
      </c>
      <c r="F985" s="10">
        <v>30137</v>
      </c>
      <c r="G985" s="7">
        <f t="shared" ca="1" si="60"/>
        <v>43.838888888888889</v>
      </c>
      <c r="H985" s="9" t="s">
        <v>18</v>
      </c>
      <c r="I985" s="9" t="s">
        <v>19</v>
      </c>
      <c r="J985" s="9" t="s">
        <v>21</v>
      </c>
      <c r="K985" s="9" t="s">
        <v>21</v>
      </c>
      <c r="L985" s="10">
        <v>45707</v>
      </c>
      <c r="M985" s="9">
        <f t="shared" ca="1" si="61"/>
        <v>1.2166666666666666</v>
      </c>
      <c r="N985" s="9">
        <v>18042</v>
      </c>
      <c r="O985" s="9" t="str">
        <f t="shared" si="62"/>
        <v>فبراير</v>
      </c>
      <c r="P985" s="7" t="str">
        <f t="shared" si="63"/>
        <v>راتب طبيعي</v>
      </c>
    </row>
    <row r="986" spans="1:16" x14ac:dyDescent="0.3">
      <c r="A986" s="7">
        <v>59765</v>
      </c>
      <c r="B986" s="7" t="s">
        <v>2005</v>
      </c>
      <c r="C986" s="7" t="s">
        <v>2006</v>
      </c>
      <c r="D986" s="7" t="s">
        <v>16</v>
      </c>
      <c r="E986" s="7" t="s">
        <v>17</v>
      </c>
      <c r="F986" s="8">
        <v>34427</v>
      </c>
      <c r="G986" s="7">
        <f t="shared" ca="1" si="60"/>
        <v>32.094444444444441</v>
      </c>
      <c r="H986" s="7" t="s">
        <v>18</v>
      </c>
      <c r="I986" s="7" t="s">
        <v>25</v>
      </c>
      <c r="J986" s="7" t="s">
        <v>21</v>
      </c>
      <c r="K986" s="7" t="s">
        <v>26</v>
      </c>
      <c r="L986" s="8">
        <v>45708</v>
      </c>
      <c r="M986" s="7">
        <f t="shared" ca="1" si="61"/>
        <v>1.2138888888888888</v>
      </c>
      <c r="N986" s="7">
        <v>5763</v>
      </c>
      <c r="O986" s="7" t="str">
        <f t="shared" si="62"/>
        <v>فبراير</v>
      </c>
      <c r="P986" s="7" t="str">
        <f t="shared" si="63"/>
        <v>راتب عالي</v>
      </c>
    </row>
    <row r="987" spans="1:16" x14ac:dyDescent="0.3">
      <c r="A987" s="9">
        <v>52355</v>
      </c>
      <c r="B987" s="9" t="s">
        <v>2007</v>
      </c>
      <c r="C987" s="9" t="s">
        <v>2008</v>
      </c>
      <c r="D987" s="9" t="s">
        <v>146</v>
      </c>
      <c r="E987" s="9" t="s">
        <v>17</v>
      </c>
      <c r="F987" s="10">
        <v>36671</v>
      </c>
      <c r="G987" s="7">
        <f t="shared" ca="1" si="60"/>
        <v>25.95</v>
      </c>
      <c r="H987" s="9" t="s">
        <v>36</v>
      </c>
      <c r="I987" s="9" t="s">
        <v>25</v>
      </c>
      <c r="J987" s="9" t="s">
        <v>20</v>
      </c>
      <c r="K987" s="9" t="s">
        <v>27</v>
      </c>
      <c r="L987" s="10">
        <v>45709</v>
      </c>
      <c r="M987" s="9">
        <f t="shared" ca="1" si="61"/>
        <v>1.211111111111111</v>
      </c>
      <c r="N987" s="9">
        <v>3243</v>
      </c>
      <c r="O987" s="9" t="str">
        <f t="shared" si="62"/>
        <v>فبراير</v>
      </c>
      <c r="P987" s="7" t="str">
        <f t="shared" si="63"/>
        <v>راتب عالي</v>
      </c>
    </row>
    <row r="988" spans="1:16" x14ac:dyDescent="0.3">
      <c r="A988" s="7">
        <v>55280</v>
      </c>
      <c r="B988" s="7" t="s">
        <v>2009</v>
      </c>
      <c r="C988" s="7" t="s">
        <v>2010</v>
      </c>
      <c r="D988" s="7" t="s">
        <v>40</v>
      </c>
      <c r="E988" s="7" t="s">
        <v>35</v>
      </c>
      <c r="F988" s="8">
        <v>37253</v>
      </c>
      <c r="G988" s="7">
        <f t="shared" ca="1" si="60"/>
        <v>24.358333333333334</v>
      </c>
      <c r="H988" s="7" t="s">
        <v>18</v>
      </c>
      <c r="I988" s="7" t="s">
        <v>46</v>
      </c>
      <c r="J988" s="7" t="s">
        <v>21</v>
      </c>
      <c r="K988" s="7" t="s">
        <v>37</v>
      </c>
      <c r="L988" s="8">
        <v>45710</v>
      </c>
      <c r="M988" s="7">
        <f t="shared" ca="1" si="61"/>
        <v>1.2083333333333333</v>
      </c>
      <c r="N988" s="7">
        <v>14592</v>
      </c>
      <c r="O988" s="7" t="str">
        <f t="shared" si="62"/>
        <v>فبراير</v>
      </c>
      <c r="P988" s="7" t="str">
        <f t="shared" si="63"/>
        <v>راتب طبيعي</v>
      </c>
    </row>
    <row r="989" spans="1:16" x14ac:dyDescent="0.3">
      <c r="A989" s="9">
        <v>56343</v>
      </c>
      <c r="B989" s="9" t="s">
        <v>2011</v>
      </c>
      <c r="C989" s="9" t="s">
        <v>2012</v>
      </c>
      <c r="D989" s="9" t="s">
        <v>40</v>
      </c>
      <c r="E989" s="9" t="s">
        <v>35</v>
      </c>
      <c r="F989" s="10">
        <v>33743</v>
      </c>
      <c r="G989" s="7">
        <f t="shared" ca="1" si="60"/>
        <v>33.966666666666669</v>
      </c>
      <c r="H989" s="9" t="s">
        <v>36</v>
      </c>
      <c r="I989" s="9" t="s">
        <v>25</v>
      </c>
      <c r="J989" s="9" t="s">
        <v>20</v>
      </c>
      <c r="K989" s="9" t="s">
        <v>20</v>
      </c>
      <c r="L989" s="10">
        <v>45711</v>
      </c>
      <c r="M989" s="9">
        <f t="shared" ca="1" si="61"/>
        <v>1.2055555555555555</v>
      </c>
      <c r="N989" s="9">
        <v>6790</v>
      </c>
      <c r="O989" s="9" t="str">
        <f t="shared" si="62"/>
        <v>فبراير</v>
      </c>
      <c r="P989" s="7" t="str">
        <f t="shared" si="63"/>
        <v>راتب طبيعي</v>
      </c>
    </row>
    <row r="990" spans="1:16" x14ac:dyDescent="0.3">
      <c r="A990" s="7">
        <v>52363</v>
      </c>
      <c r="B990" s="7" t="s">
        <v>2013</v>
      </c>
      <c r="C990" s="7" t="s">
        <v>2014</v>
      </c>
      <c r="D990" s="7" t="s">
        <v>43</v>
      </c>
      <c r="E990" s="7" t="s">
        <v>17</v>
      </c>
      <c r="F990" s="8">
        <v>32900</v>
      </c>
      <c r="G990" s="7">
        <f t="shared" ca="1" si="60"/>
        <v>36.277777777777779</v>
      </c>
      <c r="H990" s="7" t="s">
        <v>18</v>
      </c>
      <c r="I990" s="7" t="s">
        <v>25</v>
      </c>
      <c r="J990" s="7" t="s">
        <v>31</v>
      </c>
      <c r="K990" s="7" t="s">
        <v>26</v>
      </c>
      <c r="L990" s="8">
        <v>45712</v>
      </c>
      <c r="M990" s="7">
        <f t="shared" ca="1" si="61"/>
        <v>1.2027777777777777</v>
      </c>
      <c r="N990" s="7">
        <v>3071</v>
      </c>
      <c r="O990" s="7" t="str">
        <f t="shared" si="62"/>
        <v>فبراير</v>
      </c>
      <c r="P990" s="7" t="str">
        <f t="shared" si="63"/>
        <v>راتب عالي</v>
      </c>
    </row>
    <row r="991" spans="1:16" x14ac:dyDescent="0.3">
      <c r="A991" s="9">
        <v>58717</v>
      </c>
      <c r="B991" s="9" t="s">
        <v>2015</v>
      </c>
      <c r="C991" s="9" t="s">
        <v>2016</v>
      </c>
      <c r="D991" s="9" t="s">
        <v>16</v>
      </c>
      <c r="E991" s="9" t="s">
        <v>35</v>
      </c>
      <c r="F991" s="10">
        <v>30450</v>
      </c>
      <c r="G991" s="7">
        <f t="shared" ca="1" si="60"/>
        <v>42.980555555555554</v>
      </c>
      <c r="H991" s="9" t="s">
        <v>18</v>
      </c>
      <c r="I991" s="9" t="s">
        <v>25</v>
      </c>
      <c r="J991" s="9" t="s">
        <v>27</v>
      </c>
      <c r="K991" s="9" t="s">
        <v>27</v>
      </c>
      <c r="L991" s="10">
        <v>45713</v>
      </c>
      <c r="M991" s="9">
        <f t="shared" ca="1" si="61"/>
        <v>1.2</v>
      </c>
      <c r="N991" s="9">
        <v>3772</v>
      </c>
      <c r="O991" s="9" t="str">
        <f t="shared" si="62"/>
        <v>فبراير</v>
      </c>
      <c r="P991" s="7" t="str">
        <f t="shared" si="63"/>
        <v>راتب عالي</v>
      </c>
    </row>
    <row r="992" spans="1:16" x14ac:dyDescent="0.3">
      <c r="A992" s="7">
        <v>57799</v>
      </c>
      <c r="B992" s="7" t="s">
        <v>2017</v>
      </c>
      <c r="C992" s="7" t="s">
        <v>2018</v>
      </c>
      <c r="D992" s="7" t="s">
        <v>95</v>
      </c>
      <c r="E992" s="7" t="s">
        <v>17</v>
      </c>
      <c r="F992" s="8">
        <v>37818</v>
      </c>
      <c r="G992" s="7">
        <f t="shared" ca="1" si="60"/>
        <v>22.808333333333334</v>
      </c>
      <c r="H992" s="7" t="s">
        <v>18</v>
      </c>
      <c r="I992" s="7" t="s">
        <v>25</v>
      </c>
      <c r="J992" s="7" t="s">
        <v>31</v>
      </c>
      <c r="K992" s="7" t="s">
        <v>37</v>
      </c>
      <c r="L992" s="8">
        <v>45714</v>
      </c>
      <c r="M992" s="7">
        <f t="shared" ca="1" si="61"/>
        <v>1.1972222222222222</v>
      </c>
      <c r="N992" s="7">
        <v>5050</v>
      </c>
      <c r="O992" s="7" t="str">
        <f t="shared" si="62"/>
        <v>فبراير</v>
      </c>
      <c r="P992" s="7" t="str">
        <f t="shared" si="63"/>
        <v>راتب عالي</v>
      </c>
    </row>
    <row r="993" spans="1:16" x14ac:dyDescent="0.3">
      <c r="A993" s="9">
        <v>57149</v>
      </c>
      <c r="B993" s="9" t="s">
        <v>2019</v>
      </c>
      <c r="C993" s="9" t="s">
        <v>2020</v>
      </c>
      <c r="D993" s="9" t="s">
        <v>30</v>
      </c>
      <c r="E993" s="9" t="s">
        <v>17</v>
      </c>
      <c r="F993" s="10">
        <v>31036</v>
      </c>
      <c r="G993" s="7">
        <f t="shared" ca="1" si="60"/>
        <v>41.380555555555553</v>
      </c>
      <c r="H993" s="9" t="s">
        <v>36</v>
      </c>
      <c r="I993" s="9" t="s">
        <v>46</v>
      </c>
      <c r="J993" s="9" t="s">
        <v>20</v>
      </c>
      <c r="K993" s="9" t="s">
        <v>31</v>
      </c>
      <c r="L993" s="10">
        <v>45715</v>
      </c>
      <c r="M993" s="9">
        <f t="shared" ca="1" si="61"/>
        <v>1.1944444444444444</v>
      </c>
      <c r="N993" s="9">
        <v>14913</v>
      </c>
      <c r="O993" s="9" t="str">
        <f t="shared" si="62"/>
        <v>فبراير</v>
      </c>
      <c r="P993" s="7" t="str">
        <f t="shared" si="63"/>
        <v>راتب طبيعي</v>
      </c>
    </row>
    <row r="994" spans="1:16" x14ac:dyDescent="0.3">
      <c r="A994" s="7">
        <v>57170</v>
      </c>
      <c r="B994" s="7" t="s">
        <v>2021</v>
      </c>
      <c r="C994" s="7" t="s">
        <v>2022</v>
      </c>
      <c r="D994" s="7" t="s">
        <v>66</v>
      </c>
      <c r="E994" s="7" t="s">
        <v>17</v>
      </c>
      <c r="F994" s="8">
        <v>33833</v>
      </c>
      <c r="G994" s="7">
        <f t="shared" ca="1" si="60"/>
        <v>33.722222222222221</v>
      </c>
      <c r="H994" s="7" t="s">
        <v>36</v>
      </c>
      <c r="I994" s="7" t="s">
        <v>25</v>
      </c>
      <c r="J994" s="7" t="s">
        <v>27</v>
      </c>
      <c r="K994" s="7" t="s">
        <v>31</v>
      </c>
      <c r="L994" s="8">
        <v>45716</v>
      </c>
      <c r="M994" s="7">
        <f t="shared" ca="1" si="61"/>
        <v>1.1861111111111111</v>
      </c>
      <c r="N994" s="7">
        <v>5445</v>
      </c>
      <c r="O994" s="7" t="str">
        <f t="shared" si="62"/>
        <v>فبراير</v>
      </c>
      <c r="P994" s="7" t="str">
        <f t="shared" si="63"/>
        <v>راتب عالي</v>
      </c>
    </row>
    <row r="995" spans="1:16" x14ac:dyDescent="0.3">
      <c r="A995" s="9">
        <v>50170</v>
      </c>
      <c r="B995" s="9" t="s">
        <v>2023</v>
      </c>
      <c r="C995" s="9" t="s">
        <v>2024</v>
      </c>
      <c r="D995" s="9" t="s">
        <v>24</v>
      </c>
      <c r="E995" s="9" t="s">
        <v>17</v>
      </c>
      <c r="F995" s="10">
        <v>30515</v>
      </c>
      <c r="G995" s="7">
        <f t="shared" ca="1" si="60"/>
        <v>42.802777777777777</v>
      </c>
      <c r="H995" s="9" t="s">
        <v>18</v>
      </c>
      <c r="I995" s="9" t="s">
        <v>25</v>
      </c>
      <c r="J995" s="9" t="s">
        <v>27</v>
      </c>
      <c r="K995" s="9" t="s">
        <v>20</v>
      </c>
      <c r="L995" s="10">
        <v>45717</v>
      </c>
      <c r="M995" s="9">
        <f t="shared" ca="1" si="61"/>
        <v>1.1833333333333333</v>
      </c>
      <c r="N995" s="9">
        <v>5999</v>
      </c>
      <c r="O995" s="9" t="str">
        <f t="shared" si="62"/>
        <v>مارس</v>
      </c>
      <c r="P995" s="7" t="str">
        <f t="shared" si="63"/>
        <v>راتب طبيعي</v>
      </c>
    </row>
    <row r="996" spans="1:16" x14ac:dyDescent="0.3">
      <c r="A996" s="7">
        <v>52283</v>
      </c>
      <c r="B996" s="7" t="s">
        <v>2025</v>
      </c>
      <c r="C996" s="7" t="s">
        <v>2026</v>
      </c>
      <c r="D996" s="7" t="s">
        <v>16</v>
      </c>
      <c r="E996" s="7" t="s">
        <v>17</v>
      </c>
      <c r="F996" s="8">
        <v>37333</v>
      </c>
      <c r="G996" s="7">
        <f t="shared" ca="1" si="60"/>
        <v>24.136111111111113</v>
      </c>
      <c r="H996" s="7" t="s">
        <v>36</v>
      </c>
      <c r="I996" s="7" t="s">
        <v>25</v>
      </c>
      <c r="J996" s="7" t="s">
        <v>26</v>
      </c>
      <c r="K996" s="7" t="s">
        <v>26</v>
      </c>
      <c r="L996" s="8">
        <v>45718</v>
      </c>
      <c r="M996" s="7">
        <f t="shared" ca="1" si="61"/>
        <v>1.1805555555555556</v>
      </c>
      <c r="N996" s="7">
        <v>5291</v>
      </c>
      <c r="O996" s="7" t="str">
        <f t="shared" si="62"/>
        <v>مارس</v>
      </c>
      <c r="P996" s="7" t="str">
        <f t="shared" si="63"/>
        <v>راتب عالي</v>
      </c>
    </row>
    <row r="997" spans="1:16" x14ac:dyDescent="0.3">
      <c r="A997" s="9">
        <v>50321</v>
      </c>
      <c r="B997" s="9" t="s">
        <v>2027</v>
      </c>
      <c r="C997" s="9" t="s">
        <v>2028</v>
      </c>
      <c r="D997" s="9" t="s">
        <v>24</v>
      </c>
      <c r="E997" s="9" t="s">
        <v>35</v>
      </c>
      <c r="F997" s="10">
        <v>32567</v>
      </c>
      <c r="G997" s="7">
        <f t="shared" ca="1" si="60"/>
        <v>37.18611111111111</v>
      </c>
      <c r="H997" s="9" t="s">
        <v>18</v>
      </c>
      <c r="I997" s="9" t="s">
        <v>25</v>
      </c>
      <c r="J997" s="9" t="s">
        <v>31</v>
      </c>
      <c r="K997" s="9" t="s">
        <v>27</v>
      </c>
      <c r="L997" s="10">
        <v>45719</v>
      </c>
      <c r="M997" s="9">
        <f t="shared" ca="1" si="61"/>
        <v>1.1777777777777778</v>
      </c>
      <c r="N997" s="9">
        <v>5611</v>
      </c>
      <c r="O997" s="9" t="str">
        <f t="shared" si="62"/>
        <v>مارس</v>
      </c>
      <c r="P997" s="7" t="str">
        <f t="shared" si="63"/>
        <v>راتب عالي</v>
      </c>
    </row>
    <row r="998" spans="1:16" x14ac:dyDescent="0.3">
      <c r="A998" s="7">
        <v>59286</v>
      </c>
      <c r="B998" s="7" t="s">
        <v>2029</v>
      </c>
      <c r="C998" s="7" t="s">
        <v>2030</v>
      </c>
      <c r="D998" s="7" t="s">
        <v>30</v>
      </c>
      <c r="E998" s="7" t="s">
        <v>17</v>
      </c>
      <c r="F998" s="8">
        <v>35106</v>
      </c>
      <c r="G998" s="7">
        <f t="shared" ca="1" si="60"/>
        <v>30.238888888888887</v>
      </c>
      <c r="H998" s="7" t="s">
        <v>18</v>
      </c>
      <c r="I998" s="7" t="s">
        <v>25</v>
      </c>
      <c r="J998" s="7" t="s">
        <v>21</v>
      </c>
      <c r="K998" s="7" t="s">
        <v>31</v>
      </c>
      <c r="L998" s="8">
        <v>45720</v>
      </c>
      <c r="M998" s="7">
        <f t="shared" ca="1" si="61"/>
        <v>1.175</v>
      </c>
      <c r="N998" s="7">
        <v>3840</v>
      </c>
      <c r="O998" s="7" t="str">
        <f t="shared" si="62"/>
        <v>مارس</v>
      </c>
      <c r="P998" s="7" t="str">
        <f t="shared" si="63"/>
        <v>راتب عالي</v>
      </c>
    </row>
    <row r="999" spans="1:16" x14ac:dyDescent="0.3">
      <c r="A999" s="9">
        <v>51746</v>
      </c>
      <c r="B999" s="9" t="s">
        <v>2031</v>
      </c>
      <c r="C999" s="9" t="s">
        <v>2032</v>
      </c>
      <c r="D999" s="9" t="s">
        <v>95</v>
      </c>
      <c r="E999" s="9" t="s">
        <v>35</v>
      </c>
      <c r="F999" s="10">
        <v>31231</v>
      </c>
      <c r="G999" s="7">
        <f t="shared" ca="1" si="60"/>
        <v>40.844444444444441</v>
      </c>
      <c r="H999" s="9" t="s">
        <v>18</v>
      </c>
      <c r="I999" s="9" t="s">
        <v>46</v>
      </c>
      <c r="J999" s="9" t="s">
        <v>21</v>
      </c>
      <c r="K999" s="9" t="s">
        <v>27</v>
      </c>
      <c r="L999" s="10">
        <v>45721</v>
      </c>
      <c r="M999" s="9">
        <f t="shared" ca="1" si="61"/>
        <v>1.1722222222222223</v>
      </c>
      <c r="N999" s="9">
        <v>14386</v>
      </c>
      <c r="O999" s="9" t="str">
        <f t="shared" si="62"/>
        <v>مارس</v>
      </c>
      <c r="P999" s="7" t="str">
        <f t="shared" si="63"/>
        <v>راتب طبيعي</v>
      </c>
    </row>
    <row r="1000" spans="1:16" x14ac:dyDescent="0.3">
      <c r="A1000" s="7">
        <v>54321</v>
      </c>
      <c r="B1000" s="7" t="s">
        <v>2033</v>
      </c>
      <c r="C1000" s="7" t="s">
        <v>2034</v>
      </c>
      <c r="D1000" s="7" t="s">
        <v>95</v>
      </c>
      <c r="E1000" s="7" t="s">
        <v>35</v>
      </c>
      <c r="F1000" s="8">
        <v>33257</v>
      </c>
      <c r="G1000" s="7">
        <f t="shared" ca="1" si="60"/>
        <v>35.299999999999997</v>
      </c>
      <c r="H1000" s="7" t="s">
        <v>36</v>
      </c>
      <c r="I1000" s="7" t="s">
        <v>25</v>
      </c>
      <c r="J1000" s="7" t="s">
        <v>20</v>
      </c>
      <c r="K1000" s="7" t="s">
        <v>27</v>
      </c>
      <c r="L1000" s="8">
        <v>45722</v>
      </c>
      <c r="M1000" s="7">
        <f t="shared" ca="1" si="61"/>
        <v>1.1694444444444445</v>
      </c>
      <c r="N1000" s="7">
        <v>3141</v>
      </c>
      <c r="O1000" s="7" t="str">
        <f t="shared" si="62"/>
        <v>مارس</v>
      </c>
      <c r="P1000" s="7" t="str">
        <f t="shared" si="63"/>
        <v>راتب عالي</v>
      </c>
    </row>
    <row r="1001" spans="1:16" x14ac:dyDescent="0.3">
      <c r="A1001" s="5">
        <v>50846</v>
      </c>
      <c r="B1001" s="5" t="s">
        <v>2035</v>
      </c>
      <c r="C1001" s="5" t="s">
        <v>2036</v>
      </c>
      <c r="D1001" s="5" t="s">
        <v>43</v>
      </c>
      <c r="E1001" s="5" t="s">
        <v>17</v>
      </c>
      <c r="F1001" s="11">
        <v>35118</v>
      </c>
      <c r="G1001" s="6">
        <f t="shared" ca="1" si="60"/>
        <v>30.205555555555556</v>
      </c>
      <c r="H1001" s="5" t="s">
        <v>18</v>
      </c>
      <c r="I1001" s="5" t="s">
        <v>46</v>
      </c>
      <c r="J1001" s="5" t="s">
        <v>21</v>
      </c>
      <c r="K1001" s="5" t="s">
        <v>37</v>
      </c>
      <c r="L1001" s="11">
        <v>45723</v>
      </c>
      <c r="M1001" s="5">
        <f t="shared" ca="1" si="61"/>
        <v>1.1666666666666667</v>
      </c>
      <c r="N1001" s="5">
        <v>7000</v>
      </c>
      <c r="O1001" s="5" t="str">
        <f t="shared" si="62"/>
        <v>مارس</v>
      </c>
      <c r="P1001" s="7" t="str">
        <f t="shared" si="63"/>
        <v>راتب طبيعي</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92d12d2-483d-4a15-b75f-f923a6878c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414A2B7490C14EA65D67834127FCB0" ma:contentTypeVersion="10" ma:contentTypeDescription="Create a new document." ma:contentTypeScope="" ma:versionID="c6ceea2789c033c2af9cce03e8e1dc77">
  <xsd:schema xmlns:xsd="http://www.w3.org/2001/XMLSchema" xmlns:xs="http://www.w3.org/2001/XMLSchema" xmlns:p="http://schemas.microsoft.com/office/2006/metadata/properties" xmlns:ns3="c92d12d2-483d-4a15-b75f-f923a6878c5d" targetNamespace="http://schemas.microsoft.com/office/2006/metadata/properties" ma:root="true" ma:fieldsID="39b6c29cd1bce5269008a01d0da32865" ns3:_="">
    <xsd:import namespace="c92d12d2-483d-4a15-b75f-f923a6878c5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2d12d2-483d-4a15-b75f-f923a6878c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28906-05AC-461E-A062-BF724FB0E6E3}">
  <ds:schemaRefs>
    <ds:schemaRef ds:uri="http://purl.org/dc/term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c92d12d2-483d-4a15-b75f-f923a6878c5d"/>
  </ds:schemaRefs>
</ds:datastoreItem>
</file>

<file path=customXml/itemProps2.xml><?xml version="1.0" encoding="utf-8"?>
<ds:datastoreItem xmlns:ds="http://schemas.openxmlformats.org/officeDocument/2006/customXml" ds:itemID="{5B096306-B00B-49FF-AD2F-D05F385FDFC3}">
  <ds:schemaRefs>
    <ds:schemaRef ds:uri="http://schemas.microsoft.com/sharepoint/v3/contenttype/forms"/>
  </ds:schemaRefs>
</ds:datastoreItem>
</file>

<file path=customXml/itemProps3.xml><?xml version="1.0" encoding="utf-8"?>
<ds:datastoreItem xmlns:ds="http://schemas.openxmlformats.org/officeDocument/2006/customXml" ds:itemID="{91D8EBFA-520D-4E4A-86C9-19AC368DEF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2d12d2-483d-4a15-b75f-f923a6878c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c:creator>
  <cp:lastModifiedBy>مريم محمد فيصل محمد نافع</cp:lastModifiedBy>
  <cp:lastPrinted>2026-05-07T15:43:07Z</cp:lastPrinted>
  <dcterms:created xsi:type="dcterms:W3CDTF">2025-12-20T18:13:54Z</dcterms:created>
  <dcterms:modified xsi:type="dcterms:W3CDTF">2026-05-07T16:23:42Z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0x010100A3414A2B7490C14EA65D67834127FCB0</vt:lpwstr>
  </property>
</Properties>
</file>